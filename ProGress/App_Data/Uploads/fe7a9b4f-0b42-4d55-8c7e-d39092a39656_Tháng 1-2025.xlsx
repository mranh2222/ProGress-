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aocao\"/>
    </mc:Choice>
  </mc:AlternateContent>
  <bookViews>
    <workbookView xWindow="15930" yWindow="-120" windowWidth="29040" windowHeight="15720" firstSheet="37" activeTab="44"/>
  </bookViews>
  <sheets>
    <sheet name="BC Tuần 1" sheetId="24" state="hidden" r:id="rId1"/>
    <sheet name="BC Tuần 2" sheetId="25" state="hidden" r:id="rId2"/>
    <sheet name="BC Tuần 4" sheetId="26" state="hidden" r:id="rId3"/>
    <sheet name="Báo cáo tháng 01" sheetId="23" state="hidden" r:id="rId4"/>
    <sheet name="T1-2-2025" sheetId="27" state="hidden" r:id="rId5"/>
    <sheet name="T3-2-2025" sheetId="28" state="hidden" r:id="rId6"/>
    <sheet name="T4-2-2025" sheetId="29" state="hidden" r:id="rId7"/>
    <sheet name="Báo cáo tháng 02" sheetId="30" state="hidden" r:id="rId8"/>
    <sheet name="T1-3-2025" sheetId="31" r:id="rId9"/>
    <sheet name="T2-3-2025" sheetId="33" r:id="rId10"/>
    <sheet name="T3-3-2025" sheetId="34" r:id="rId11"/>
    <sheet name="T4-3-2025" sheetId="35" r:id="rId12"/>
    <sheet name="Báo cáo tháng 03" sheetId="36" r:id="rId13"/>
    <sheet name="T1-4-2025" sheetId="37" r:id="rId14"/>
    <sheet name="T2-4-2025" sheetId="38" r:id="rId15"/>
    <sheet name="T4-4-2025" sheetId="39" r:id="rId16"/>
    <sheet name="Báo cáo tháng 04" sheetId="40" r:id="rId17"/>
    <sheet name="T1-5-2025" sheetId="41" r:id="rId18"/>
    <sheet name="T2-5-2025" sheetId="42" r:id="rId19"/>
    <sheet name="T4-5-2025" sheetId="43" r:id="rId20"/>
    <sheet name="Báo cáo tháng 05" sheetId="44" r:id="rId21"/>
    <sheet name="T1-6-2025" sheetId="46" r:id="rId22"/>
    <sheet name="T2-6-2025" sheetId="47" r:id="rId23"/>
    <sheet name="T3-6-2025" sheetId="48" r:id="rId24"/>
    <sheet name="T4-6-2025" sheetId="49" r:id="rId25"/>
    <sheet name="Báo cáo tháng 06" sheetId="50" r:id="rId26"/>
    <sheet name="T1-7-2025" sheetId="51" r:id="rId27"/>
    <sheet name="T3-7-2025" sheetId="52" r:id="rId28"/>
    <sheet name="T4-7-2025" sheetId="53" r:id="rId29"/>
    <sheet name="T5-7-2025" sheetId="54" r:id="rId30"/>
    <sheet name="T1-8-2025" sheetId="55" r:id="rId31"/>
    <sheet name="T2-8-2025" sheetId="56" r:id="rId32"/>
    <sheet name="T2-9-2025" sheetId="58" r:id="rId33"/>
    <sheet name="T3-9-2025" sheetId="59" r:id="rId34"/>
    <sheet name="T4-9-2025" sheetId="60" r:id="rId35"/>
    <sheet name="Báo cáo tháng 09" sheetId="61" r:id="rId36"/>
    <sheet name="T3-10-2025" sheetId="63" r:id="rId37"/>
    <sheet name="T3-11-2025" sheetId="64" r:id="rId38"/>
    <sheet name="T1-10-2025" sheetId="62" r:id="rId39"/>
    <sheet name="T4-11-2025" sheetId="65" r:id="rId40"/>
    <sheet name="Báo cáo tháng 11" sheetId="66" r:id="rId41"/>
    <sheet name="T1-12-2025" sheetId="69" r:id="rId42"/>
    <sheet name="T2-12-2025" sheetId="70" r:id="rId43"/>
    <sheet name="T4-12-2025" sheetId="71" r:id="rId44"/>
    <sheet name="Báo cáo tháng 12" sheetId="72" r:id="rId45"/>
    <sheet name="Sheet1" sheetId="67" r:id="rId46"/>
    <sheet name="Sheet2" sheetId="68" r:id="rId47"/>
    <sheet name="Phân bổ quỹ lương" sheetId="16" state="hidden" r:id="rId48"/>
    <sheet name="Cơ chế thu nhập nhân sự" sheetId="2" state="hidden" r:id="rId49"/>
  </sheets>
  <externalReferences>
    <externalReference r:id="rId50"/>
  </externalReferences>
  <definedNames>
    <definedName name="DMHH">[1]DMHH!$C$7:$C$14</definedName>
    <definedName name="DMTK">[1]DMTK!$A$7:$A$150</definedName>
    <definedName name="_xlnm.Print_Area" localSheetId="12">'Báo cáo tháng 03'!$A$1:$G$40</definedName>
    <definedName name="_xlnm.Print_Area" localSheetId="16">'Báo cáo tháng 04'!$A$1:$G$40</definedName>
    <definedName name="_xlnm.Print_Area" localSheetId="20">'Báo cáo tháng 05'!$A$1:$G$40</definedName>
    <definedName name="_xlnm.Print_Area" localSheetId="25">'Báo cáo tháng 06'!$A$1:$G$42</definedName>
    <definedName name="_xlnm.Print_Area" localSheetId="35">'Báo cáo tháng 09'!$A$1:$G$41</definedName>
    <definedName name="_xlnm.Print_Area" localSheetId="40">'Báo cáo tháng 11'!$A$1:$G$43</definedName>
    <definedName name="_xlnm.Print_Area" localSheetId="44">'Báo cáo tháng 12'!$A$1:$G$45</definedName>
    <definedName name="_xlnm.Print_Area" localSheetId="0">'BC Tuần 1'!$A$1:$H$32</definedName>
    <definedName name="_xlnm.Print_Area" localSheetId="1">'BC Tuần 2'!$A$1:$H$32</definedName>
    <definedName name="_xlnm.Print_Area" localSheetId="2">'BC Tuần 4'!$A$1:$H$33</definedName>
    <definedName name="_xlnm.Print_Area" localSheetId="38">'T1-10-2025'!$A$1:$H$28</definedName>
    <definedName name="_xlnm.Print_Area" localSheetId="41">'T1-12-2025'!$A$1:$H$30</definedName>
    <definedName name="_xlnm.Print_Area" localSheetId="4">'T1-2-2025'!$A$1:$H$35</definedName>
    <definedName name="_xlnm.Print_Area" localSheetId="8">'T1-3-2025'!$A$1:$H$26</definedName>
    <definedName name="_xlnm.Print_Area" localSheetId="13">'T1-4-2025'!$A$1:$H$27</definedName>
    <definedName name="_xlnm.Print_Area" localSheetId="17">'T1-5-2025'!$A$1:$H$28</definedName>
    <definedName name="_xlnm.Print_Area" localSheetId="21">'T1-6-2025'!$A$1:$H$28</definedName>
    <definedName name="_xlnm.Print_Area" localSheetId="26">'T1-7-2025'!$A$1:$H$30</definedName>
    <definedName name="_xlnm.Print_Area" localSheetId="30">'T1-8-2025'!$A$1:$H$29</definedName>
    <definedName name="_xlnm.Print_Area" localSheetId="42">'T2-12-2025'!$A$1:$H$31</definedName>
    <definedName name="_xlnm.Print_Area" localSheetId="9">'T2-3-2025'!$A$1:$H$27</definedName>
    <definedName name="_xlnm.Print_Area" localSheetId="14">'T2-4-2025'!$A$1:$H$28</definedName>
    <definedName name="_xlnm.Print_Area" localSheetId="18">'T2-5-2025'!$A$1:$H$28</definedName>
    <definedName name="_xlnm.Print_Area" localSheetId="22">'T2-6-2025'!$A$1:$H$29</definedName>
    <definedName name="_xlnm.Print_Area" localSheetId="31">'T2-8-2025'!$A$1:$H$28</definedName>
    <definedName name="_xlnm.Print_Area" localSheetId="32">'T2-9-2025'!$A$1:$H$28</definedName>
    <definedName name="_xlnm.Print_Area" localSheetId="36">'T3-10-2025'!$A$1:$H$29</definedName>
    <definedName name="_xlnm.Print_Area" localSheetId="37">'T3-11-2025'!$A$1:$H$30</definedName>
    <definedName name="_xlnm.Print_Area" localSheetId="5">'T3-2-2025'!$A$1:$H$33</definedName>
    <definedName name="_xlnm.Print_Area" localSheetId="10">'T3-3-2025'!$A$1:$H$27</definedName>
    <definedName name="_xlnm.Print_Area" localSheetId="23">'T3-6-2025'!$A$1:$H$29</definedName>
    <definedName name="_xlnm.Print_Area" localSheetId="27">'T3-7-2025'!$A$1:$H$29</definedName>
    <definedName name="_xlnm.Print_Area" localSheetId="33">'T3-9-2025'!$A$1:$H$28</definedName>
    <definedName name="_xlnm.Print_Area" localSheetId="39">'T4-11-2025'!$A$1:$H$30</definedName>
    <definedName name="_xlnm.Print_Area" localSheetId="43">'T4-12-2025'!$A$1:$H$31</definedName>
    <definedName name="_xlnm.Print_Area" localSheetId="6">'T4-2-2025'!$A$1:$H$30</definedName>
    <definedName name="_xlnm.Print_Area" localSheetId="11">'T4-3-2025'!$A$1:$H$27</definedName>
    <definedName name="_xlnm.Print_Area" localSheetId="15">'T4-4-2025'!$A$1:$H$28</definedName>
    <definedName name="_xlnm.Print_Area" localSheetId="19">'T4-5-2025'!$A$1:$H$28</definedName>
    <definedName name="_xlnm.Print_Area" localSheetId="24">'T4-6-2025'!$A$1:$H$30</definedName>
    <definedName name="_xlnm.Print_Area" localSheetId="28">'T4-7-2025'!$A$1:$H$29</definedName>
    <definedName name="_xlnm.Print_Area" localSheetId="34">'T4-9-2025'!$A$1:$H$28</definedName>
    <definedName name="_xlnm.Print_Area" localSheetId="29">'T5-7-2025'!$A$1:$H$30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2" l="1"/>
  <c r="E15" i="71"/>
  <c r="E15" i="70" l="1"/>
  <c r="E14" i="69" l="1"/>
  <c r="E17" i="66" l="1"/>
  <c r="E14" i="65"/>
  <c r="E14" i="64" l="1"/>
  <c r="E15" i="63" l="1"/>
  <c r="E15" i="62" l="1"/>
  <c r="E15" i="61" l="1"/>
  <c r="E14" i="60"/>
  <c r="E14" i="59" l="1"/>
  <c r="E14" i="58" l="1"/>
  <c r="E14" i="55" l="1"/>
  <c r="E15" i="54" l="1"/>
  <c r="E14" i="53" l="1"/>
  <c r="E14" i="52" l="1"/>
  <c r="E15" i="51" l="1"/>
  <c r="E16" i="50" l="1"/>
  <c r="E15" i="49"/>
  <c r="E14" i="48" l="1"/>
  <c r="E14" i="47" l="1"/>
  <c r="E13" i="46" l="1"/>
  <c r="E14" i="44"/>
  <c r="E13" i="43" l="1"/>
  <c r="E14" i="42" l="1"/>
  <c r="E14" i="41" l="1"/>
  <c r="E14" i="40" l="1"/>
  <c r="E14" i="39"/>
  <c r="E14" i="36" l="1"/>
  <c r="E19" i="30" l="1"/>
  <c r="E16" i="29"/>
  <c r="E17" i="28" l="1"/>
  <c r="E18" i="27" l="1"/>
  <c r="E17" i="25" l="1"/>
  <c r="E15" i="26" l="1"/>
  <c r="E14" i="23" l="1"/>
  <c r="E16" i="24" l="1"/>
  <c r="D40" i="16" l="1"/>
  <c r="E40" i="16" s="1"/>
  <c r="F40" i="16" s="1"/>
  <c r="E39" i="16"/>
  <c r="F39" i="16" s="1"/>
  <c r="E37" i="16"/>
  <c r="F37" i="16" s="1"/>
  <c r="E35" i="16"/>
  <c r="F35" i="16" s="1"/>
  <c r="E33" i="16"/>
  <c r="F33" i="16" s="1"/>
  <c r="E31" i="16"/>
  <c r="F31" i="16" s="1"/>
  <c r="E29" i="16"/>
  <c r="F29" i="16" s="1"/>
  <c r="F27" i="16"/>
  <c r="E20" i="2" l="1"/>
  <c r="D10" i="2" l="1"/>
  <c r="E12" i="2"/>
  <c r="D8" i="2"/>
  <c r="D6" i="2"/>
  <c r="D13" i="2" l="1"/>
  <c r="D14" i="2" s="1"/>
  <c r="E16" i="2" l="1"/>
  <c r="E17" i="2" s="1"/>
  <c r="F20" i="2" s="1"/>
  <c r="G20" i="2" s="1"/>
  <c r="F6" i="2" s="1"/>
  <c r="H6" i="2" s="1"/>
  <c r="F25" i="2" l="1"/>
  <c r="G25" i="2" s="1"/>
  <c r="F11" i="2" s="1"/>
  <c r="H11" i="2" s="1"/>
  <c r="F18" i="2"/>
  <c r="G18" i="2" s="1"/>
  <c r="F4" i="2" s="1"/>
  <c r="H4" i="2" s="1"/>
  <c r="F22" i="2"/>
  <c r="G22" i="2" s="1"/>
  <c r="F8" i="2" s="1"/>
  <c r="H8" i="2" s="1"/>
  <c r="F21" i="2"/>
  <c r="G21" i="2" s="1"/>
  <c r="F19" i="2"/>
  <c r="G19" i="2" s="1"/>
  <c r="F5" i="2" s="1"/>
  <c r="H5" i="2" s="1"/>
  <c r="F24" i="2"/>
  <c r="G24" i="2" s="1"/>
  <c r="F10" i="2" s="1"/>
  <c r="H10" i="2" s="1"/>
  <c r="F23" i="2"/>
  <c r="G23" i="2" s="1"/>
  <c r="F9" i="2" s="1"/>
  <c r="H9" i="2" s="1"/>
  <c r="F7" i="2"/>
  <c r="H7" i="2" s="1"/>
</calcChain>
</file>

<file path=xl/sharedStrings.xml><?xml version="1.0" encoding="utf-8"?>
<sst xmlns="http://schemas.openxmlformats.org/spreadsheetml/2006/main" count="2317" uniqueCount="373">
  <si>
    <t>I</t>
  </si>
  <si>
    <t>Số lượng</t>
  </si>
  <si>
    <t>II</t>
  </si>
  <si>
    <t>III</t>
  </si>
  <si>
    <t>Cách tính</t>
  </si>
  <si>
    <t>Vị trí</t>
  </si>
  <si>
    <t>Stt</t>
  </si>
  <si>
    <t>CEO</t>
  </si>
  <si>
    <t>% theo Doanh số</t>
  </si>
  <si>
    <t>Leader R &amp; D</t>
  </si>
  <si>
    <t>Sales</t>
  </si>
  <si>
    <t>Media</t>
  </si>
  <si>
    <t>Support sự kiện</t>
  </si>
  <si>
    <t>Hành chính, kế toán</t>
  </si>
  <si>
    <t>Tổng chi cho 1 tháng tối thiểu</t>
  </si>
  <si>
    <t>Lương cứng (là mức tối thiểu)</t>
  </si>
  <si>
    <t>Chuyên gia chính (Thầy)</t>
  </si>
  <si>
    <t>Tổng chi phí cho 5 tháng tối thiểu</t>
  </si>
  <si>
    <t>Thu nhập theo kết quả</t>
  </si>
  <si>
    <t>Leader MKT</t>
  </si>
  <si>
    <t>Leader Marketing &amp;Sale</t>
  </si>
  <si>
    <t>Leader R &amp;D</t>
  </si>
  <si>
    <t>Tổng thu nhập 1 tháng</t>
  </si>
  <si>
    <t>Thu nhập từ Giới thiệu, tư vấn, thu tiền khách hàng: không giới hạn theo công thức</t>
  </si>
  <si>
    <t>Giới thiệu khách</t>
  </si>
  <si>
    <t>Giá khóa học</t>
  </si>
  <si>
    <t>Tư vấn chốt khách</t>
  </si>
  <si>
    <t>không qua quảng cáo</t>
  </si>
  <si>
    <t>BẢNG TÍNH THU NHẬP CHO TỪNG VỊ TRÍ</t>
  </si>
  <si>
    <t>Nguồn chi từ Tổng 15% chi phí Marketing &amp; Sale</t>
  </si>
  <si>
    <t>Thu nhập theo Kết quả</t>
  </si>
  <si>
    <t xml:space="preserve">Tổng quỹ lương cho 5 tháng tạm tính theo DT </t>
  </si>
  <si>
    <t>Ghi chú:</t>
  </si>
  <si>
    <t>Trường hợp bổ sung chuyên gia Coach phục vụ khóa học thì chi phí cho Coach được trích từ quỹ thu nhập của chuyên gia</t>
  </si>
  <si>
    <t>STT</t>
  </si>
  <si>
    <t>Tỷ lệ</t>
  </si>
  <si>
    <t>KHOẢN MỤC</t>
  </si>
  <si>
    <t>DOANH THU</t>
  </si>
  <si>
    <t>MỨC THƯỞNG</t>
  </si>
  <si>
    <t>GHI CHÚ</t>
  </si>
  <si>
    <t>Mức 1</t>
  </si>
  <si>
    <t>Nhỏ hơn 500TR</t>
  </si>
  <si>
    <t>Mức 2</t>
  </si>
  <si>
    <t>500 đến dưới 600TR</t>
  </si>
  <si>
    <t>Mức 3</t>
  </si>
  <si>
    <t>600 đến dưới 700TR</t>
  </si>
  <si>
    <t>Mức 4</t>
  </si>
  <si>
    <t>700 đến dưới 800TR</t>
  </si>
  <si>
    <t>Mức 5</t>
  </si>
  <si>
    <t>800 đến dưới 900TR</t>
  </si>
  <si>
    <t>Mức 6</t>
  </si>
  <si>
    <t>900 đến dưới 1 tỷ</t>
  </si>
  <si>
    <t> 5%</t>
  </si>
  <si>
    <t>Mức 7</t>
  </si>
  <si>
    <t>Từ 1 tỷ trở lên</t>
  </si>
  <si>
    <t> 6%</t>
  </si>
  <si>
    <t>.</t>
  </si>
  <si>
    <t>Lương cứng</t>
  </si>
  <si>
    <t>BẢNG TÍNH TOÁN CÁC TRƯỜNG HỢP THU NHẬP</t>
  </si>
  <si>
    <t>Mức Doanh thu</t>
  </si>
  <si>
    <t>Thu nhập theo doanh thu</t>
  </si>
  <si>
    <t>Thu nhập bao gồm lương cứng</t>
  </si>
  <si>
    <t>Nhỏ hơn 500tr</t>
  </si>
  <si>
    <t>500-600 tr</t>
  </si>
  <si>
    <t>600-700</t>
  </si>
  <si>
    <t>700-800</t>
  </si>
  <si>
    <t>800-900</t>
  </si>
  <si>
    <t>900- 1 tỷ</t>
  </si>
  <si>
    <t>trên 1 tỷ</t>
  </si>
  <si>
    <t>BẢNG TÍNH TỔNG QUỸ LƯƠNG THEO CÁC MỨC DOANH THU</t>
  </si>
  <si>
    <t>Ghi chú</t>
  </si>
  <si>
    <t>Nội dung</t>
  </si>
  <si>
    <t>A. BÁO CÁO ĐÁNH GIÁ KẾT QUẢ THỰC HIỆN CÔNG VIỆC</t>
  </si>
  <si>
    <t>Mục tiêu, yêu cầu công việc</t>
  </si>
  <si>
    <t>TỔNG</t>
  </si>
  <si>
    <t xml:space="preserve">B. </t>
  </si>
  <si>
    <t>ĐÁNH GIÁ Ý THỨC KỶ LUẬT, TÁC PHONG LÀM VIỆC</t>
  </si>
  <si>
    <t>Thái độ tác phong làm việc nghiêm túc, khoa học, tuân thủ nội quy của công ty.</t>
  </si>
  <si>
    <t>Ý thức trách nhiệm và nhiệt tình trong công việc. Chấp hành nghiêm chỉ đạo của người quản lý.</t>
  </si>
  <si>
    <t>Khả năng lập kế hoạch và báo cáo (chất lượng báo cáo)</t>
  </si>
  <si>
    <t>Sẵn sàng nhận nhiệm vụ, công việc được giao</t>
  </si>
  <si>
    <t>Kỹ năng làm việc nhóm, phối hợp công việc với các thành viên trong bộ phận và các Phòng ban khác</t>
  </si>
  <si>
    <t>Nội dung đánh giá:</t>
  </si>
  <si>
    <t>………………………………………………………………………………………………………………….…………………………</t>
  </si>
  <si>
    <t>Đánh giá của người phụ trách</t>
  </si>
  <si>
    <t>Nhận xét, đánh giá chung của Người quản lý</t>
  </si>
  <si>
    <t>Ý kiến của CEO:</t>
  </si>
  <si>
    <t>Đánh giá của người quản lý</t>
  </si>
  <si>
    <t>Tình hình thực hiện, kết quả đạt được</t>
  </si>
  <si>
    <t>NGƯỜI BÁO CÁO</t>
  </si>
  <si>
    <t>QUẢN LÝ TRỰC TIẾP</t>
  </si>
  <si>
    <t>Tự đánh giá mức độ hoàn thành (%)</t>
  </si>
  <si>
    <t>Tự đánh giá (điểm/10)</t>
  </si>
  <si>
    <t>A. BÁO CÁO ĐÁNH GIÁ KẾT QUẢ THỰC HIỆN CÔNG VIỆC TRONG TUẦN</t>
  </si>
  <si>
    <t>Nội dung công việc</t>
  </si>
  <si>
    <t>Mục tiêu, yêu cầu công việc được giao</t>
  </si>
  <si>
    <t>Điều đã làm tốt</t>
  </si>
  <si>
    <t>Điều cần cải thiện</t>
  </si>
  <si>
    <t>Đề xuất kiến nghị</t>
  </si>
  <si>
    <t>KẾ HOẠCH CÔNG VIỆC TUẦN KẾ TIẾP</t>
  </si>
  <si>
    <t>Thời gian thực hiện</t>
  </si>
  <si>
    <t>Tự đánh giá mức độ hoàn thành theo tuần</t>
  </si>
  <si>
    <t>Người phối hợp</t>
  </si>
  <si>
    <t>Họ và tên: Đinh Trọng Đạt</t>
  </si>
  <si>
    <r>
      <t xml:space="preserve">Bộ Phận: </t>
    </r>
    <r>
      <rPr>
        <sz val="12"/>
        <rFont val="Times New Roman"/>
        <family val="1"/>
      </rPr>
      <t>Team Kỹ Thuật</t>
    </r>
  </si>
  <si>
    <t>100%</t>
  </si>
  <si>
    <t xml:space="preserve">- Hoàn  thành </t>
  </si>
  <si>
    <t>Chức danh: Kỹ Sư Lập Trình</t>
  </si>
  <si>
    <t>Đạt</t>
  </si>
  <si>
    <t>Đinh Trọng Đạt</t>
  </si>
  <si>
    <t>- Hỗ trợ kỹ thuật</t>
  </si>
  <si>
    <r>
      <t xml:space="preserve">Chức danh: </t>
    </r>
    <r>
      <rPr>
        <sz val="12"/>
        <rFont val="Times New Roman"/>
        <family val="1"/>
      </rPr>
      <t>Kỹ Sư Lập Trình</t>
    </r>
  </si>
  <si>
    <t>- Làm video tiktok</t>
  </si>
  <si>
    <t>- Hoàn thành</t>
  </si>
  <si>
    <t>Không</t>
  </si>
  <si>
    <t>Kế hoạch công việc tháng10/2024</t>
  </si>
  <si>
    <t>- Chỉnh sửa Etabs Gen</t>
  </si>
  <si>
    <t>- Thêm các chức năng cho Etabs Gen</t>
  </si>
  <si>
    <t>- Thêm tùy trong thép móc SFD</t>
  </si>
  <si>
    <t>- Tổng hợp các ý kiến của KH tuần 2 tháng 12</t>
  </si>
  <si>
    <t>Anh Sơn, Đoàn</t>
  </si>
  <si>
    <t>- Lấy tải trọng từ phần mềm WDL
- Tạo Combo nhanh
- Truyền dữ liệu thông tin tường, sàn, tầng sang phần mềm TMT2023</t>
  </si>
  <si>
    <t>- Thêm tùy chọn lớp vật liệu sàn cho Etabs Gen</t>
  </si>
  <si>
    <t>- Tìm hiểu Etabs Plugin</t>
  </si>
  <si>
    <t>- Tạo hàm liên kết lớp địa chất giữa PBC và PFD</t>
  </si>
  <si>
    <t>- Tổng hợp các ý kiến của KH tuần 4 tháng 12</t>
  </si>
  <si>
    <t>Từ 22-27/12/2024</t>
  </si>
  <si>
    <t>MẪU BÁO CÁO ĐÁNH GIÁ  KẾT QUẢ HOÀN THÀNH CÔNG VIỆC TUẦN 4-T12/2024</t>
  </si>
  <si>
    <t>Ngày đánh giá: 27/12/2024</t>
  </si>
  <si>
    <t>- Tổng hợp các ý kiến của KH tuần 3 tháng 12</t>
  </si>
  <si>
    <t>Ngày đánh giá: 27/11/2024</t>
  </si>
  <si>
    <t>MẪU BÁO CÁO ĐÁNH GIÁ  KẾT QUẢ HOÀN THÀNH CÔNG VIỆC THÁNG 12/2024</t>
  </si>
  <si>
    <t>- Tổng hợp ý kiến KH tháng 12</t>
  </si>
  <si>
    <t>- Tổng hợp các ý kiến của KH tuần 1 tháng 1 năm 2025</t>
  </si>
  <si>
    <t>MẪU BÁO CÁO ĐÁNH GIÁ  KẾT QUẢ HOÀN THÀNH CÔNG VIỆC TUẦN 1-T1/2025</t>
  </si>
  <si>
    <t>Từ 06-11/01/2025</t>
  </si>
  <si>
    <t>- Tạo Theme cho Combobox</t>
  </si>
  <si>
    <t>- Thép móc lệch tâm móng băng</t>
  </si>
  <si>
    <t>- Vẽ cấu kiện Bracing Column Nhà thép</t>
  </si>
  <si>
    <t>- Tạo dữ liệu lớp địa chất giữa PBC và PFD</t>
  </si>
  <si>
    <t>Ngày đánh giá: 11/01/2025</t>
  </si>
  <si>
    <t>MẪU BÁO CÁO ĐÁNH GIÁ  KẾT QUẢ HOÀN THÀNH CÔNG VIỆC TUẦN 3-T1/2025</t>
  </si>
  <si>
    <t>Ngày đánh giá: 18/01/2025</t>
  </si>
  <si>
    <t>- Tổng hợp các ý kiến của KH tuần 3 tháng 1 năm 2025</t>
  </si>
  <si>
    <t>Từ 20-24/01/2025</t>
  </si>
  <si>
    <t>- Làm mới IFDe</t>
  </si>
  <si>
    <t>- Chưa có video nào</t>
  </si>
  <si>
    <t>- Tìm hiểu làm phần mềm Chat Hỗ trợ kỹ thuật</t>
  </si>
  <si>
    <t>- Tìm hiểu làm phần mềm DSG</t>
  </si>
  <si>
    <t>MẪU BÁO CÁO ĐÁNH GIÁ  KẾT QUẢ HOÀN THÀNH CÔNG VIỆC TUẦN 1-T2/2025</t>
  </si>
  <si>
    <t>Ngày đánh giá: 08/02/2025</t>
  </si>
  <si>
    <t>- MDB Reader</t>
  </si>
  <si>
    <t>- Chỉnh sửa phần đọc dữ liệu bề rộng đón gió của WDL 2023</t>
  </si>
  <si>
    <t>- Themes</t>
  </si>
  <si>
    <t>- Làm hàm Themes của Textbox</t>
  </si>
  <si>
    <t>- Tổng hợp các ý kiến của KH tuần 1 tháng 02</t>
  </si>
  <si>
    <t>Từ 03-08/02/2025</t>
  </si>
  <si>
    <t>Anh Sơn</t>
  </si>
  <si>
    <t>- Tổng hợp các ý kiến của KH tuần 2 tháng 02</t>
  </si>
  <si>
    <t>- Còn phần Hatch</t>
  </si>
  <si>
    <t>- Hoàn thiện IFDe</t>
  </si>
  <si>
    <t>- PFD</t>
  </si>
  <si>
    <t>- Liên kết địa chất của 2 phần mềm với nhau</t>
  </si>
  <si>
    <t>- Tìm hiểu phần tra hệ số khí động của mái vòm</t>
  </si>
  <si>
    <t>- Hoàn thiện phần Crop Windown</t>
  </si>
  <si>
    <t>MẪU BÁO CÁO ĐÁNH GIÁ  KẾT QUẢ HOÀN THÀNH CÔNG VIỆC TUẦN 3-T2/2025</t>
  </si>
  <si>
    <t>Ngày đánh giá: 22/02/2025</t>
  </si>
  <si>
    <t>- KCS Plotter</t>
  </si>
  <si>
    <t>- KCS Plotter bổ sung chức năng tạo danh mục bản vẽ trong Layout</t>
  </si>
  <si>
    <t>- Tổng hợp các ý kiến của KH tuần 03 tháng 02</t>
  </si>
  <si>
    <t>- CTK</t>
  </si>
  <si>
    <t>- Chuyển CTK_NET sang WPF</t>
  </si>
  <si>
    <t>- Chưa hoàn thành</t>
  </si>
  <si>
    <t>Từ 17-22/02/2025</t>
  </si>
  <si>
    <t>- Tổng hợp các ý kiến của KH tuần 3 tháng 02</t>
  </si>
  <si>
    <t>- Hoàn thiện nốt CTK</t>
  </si>
  <si>
    <t>- Fix lỗi Etabs Gen</t>
  </si>
  <si>
    <t>MẪU BÁO CÁO ĐÁNH GIÁ  KẾT QUẢ HOÀN THÀNH CÔNG VIỆC TUẦN 4-T2/2025</t>
  </si>
  <si>
    <t>Ngày đánh giá: 01/03/2025</t>
  </si>
  <si>
    <t>- Hoàn thiện</t>
  </si>
  <si>
    <t xml:space="preserve">- Hoàn thiện </t>
  </si>
  <si>
    <t xml:space="preserve">- PFDe </t>
  </si>
  <si>
    <t>- Bổ sung mẫu Hatch bê tông lót</t>
  </si>
  <si>
    <t>- Crop Window</t>
  </si>
  <si>
    <t>- Bổ sung thêm kéo khung Crop</t>
  </si>
  <si>
    <t>Từ 24/02-01/03/2025</t>
  </si>
  <si>
    <t>- Hàm API đọc dữ liệu Pier</t>
  </si>
  <si>
    <t>- Tìm hiểu lấy dữ liệu từ diễn đàn chuyển vào file word</t>
  </si>
  <si>
    <t>- Tìm hiểu Helix</t>
  </si>
  <si>
    <t>MẪU BÁO CÁO ĐÁNH GIÁ  KẾT QUẢ HOÀN THÀNH CÔNG VIỆC THÁNG 02/2025</t>
  </si>
  <si>
    <t>- CTK_NET</t>
  </si>
  <si>
    <t>- IFDe</t>
  </si>
  <si>
    <t>- Làm hàm Crop giống Zalo</t>
  </si>
  <si>
    <t>- Chuyển sang WPF, Bổ sung hàm sắp xếp thống kê</t>
  </si>
  <si>
    <t>- Làm mới giao diện WPF</t>
  </si>
  <si>
    <t>Họ và tên: Nguyễn Đình Việt</t>
  </si>
  <si>
    <t>Ngày đánh giá: 08/03/2025</t>
  </si>
  <si>
    <t>MẪU BÁO CÁO ĐÁNH GIÁ  KẾT QUẢ HOÀN THÀNH CÔNG VIỆC TUẦN 1-T3/2025</t>
  </si>
  <si>
    <t xml:space="preserve">- Hoàn thành </t>
  </si>
  <si>
    <t>Việt</t>
  </si>
  <si>
    <t>Nguyễn Đình Việt</t>
  </si>
  <si>
    <t>Từ 10/03-15/03/2025</t>
  </si>
  <si>
    <t xml:space="preserve">- Tìm hiểu sử dụng phần mềm </t>
  </si>
  <si>
    <t>- Tìm hiểu cách sử dụng bộ phần mềm của KetcauSoft</t>
  </si>
  <si>
    <t>Đạt, Hà</t>
  </si>
  <si>
    <t>MẪU BÁO CÁO ĐÁNH GIÁ  KẾT QUẢ HOÀN THÀNH CÔNG VIỆC TUẦN 2-T3/2025</t>
  </si>
  <si>
    <t>Ngày đánh giá: 15/03/2025</t>
  </si>
  <si>
    <t>- Tìm tài liệu xây dựng</t>
  </si>
  <si>
    <t>Từ 15/03-22/03/2025</t>
  </si>
  <si>
    <t>MẪU BÁO CÁO ĐÁNH GIÁ  KẾT QUẢ HOÀN THÀNH CÔNG VIỆC TUẦN 3-T3/2025</t>
  </si>
  <si>
    <t>Ngày đánh giá: 22/03/2025</t>
  </si>
  <si>
    <t>Từ 24/03-29/03/2025</t>
  </si>
  <si>
    <t>MẪU BÁO CÁO ĐÁNH GIÁ  KẾT QUẢ HOÀN THÀNH CÔNG VIỆC TUẦN 3-T4/2025</t>
  </si>
  <si>
    <t>Ngày đánh giá: 29/03/2025</t>
  </si>
  <si>
    <t>Từ 31/03-05/04/2025</t>
  </si>
  <si>
    <t>MẪU BÁO CÁO ĐÁNH GIÁ  KẾT QUẢ HOÀN THÀNH CÔNG VIỆC THÁNG 03/2024</t>
  </si>
  <si>
    <t>- Tìm kiếm tài liệu để truyền tải tới khách hàng</t>
  </si>
  <si>
    <t>Kế hoạch công việc tháng 3/2025</t>
  </si>
  <si>
    <t>MẪU BÁO CÁO ĐÁNH GIÁ  KẾT QUẢ HOÀN THÀNH CÔNG VIỆC TUẦN 1-T4/2025</t>
  </si>
  <si>
    <t>Ngày đánh giá: 12/04/2025</t>
  </si>
  <si>
    <t>- Đăng tài liệu xây dựng lên diễn đàn</t>
  </si>
  <si>
    <t xml:space="preserve">- Xác định không gian vẽ </t>
  </si>
  <si>
    <t>- Tìm hiểu và thực hiện phần dầm thép</t>
  </si>
  <si>
    <t>Từ 14/04-19/05/2025</t>
  </si>
  <si>
    <t>MẪU BÁO CÁO ĐÁNH GIÁ  KẾT QUẢ HOÀN THÀNH CÔNG VIỆC TUẦN 2-T4/2025</t>
  </si>
  <si>
    <t>Ngày đánh giá: 19/04/2025</t>
  </si>
  <si>
    <t>- Thực hiện vẽ dầm chính, dầm phụ và các biến thể của dầm</t>
  </si>
  <si>
    <t xml:space="preserve">- Chưa hoàn thành </t>
  </si>
  <si>
    <t>- Làm video giới thiệu phần mềm</t>
  </si>
  <si>
    <t>- Giới thiệu tổng quan phần mềm DSG</t>
  </si>
  <si>
    <t>- Dầm chính (80%)</t>
  </si>
  <si>
    <t>- Tìm hiểu và thực hiện phần dầm thép( bao gồm hoàn thiện vẽ dầm chính, dầm phụ và các biến thể)</t>
  </si>
  <si>
    <t>- Quay video giới thiệu phần mềm</t>
  </si>
  <si>
    <t>Từ 21/04-26/04/2025</t>
  </si>
  <si>
    <t>MẪU BÁO CÁO ĐÁNH GIÁ  KẾT QUẢ HOÀN THÀNH CÔNG VIỆC TUẦN 4-T4/2025</t>
  </si>
  <si>
    <t>- Xác định không gian bản vẽ</t>
  </si>
  <si>
    <t>- Thực hiện xác định trả ra 2 kích thước không gian bản vẽ</t>
  </si>
  <si>
    <t>- Thay đổi thuật toán xác định.</t>
  </si>
  <si>
    <t>- Còn 1 số vấn đề cần cải thiện thêm.</t>
  </si>
  <si>
    <t>Ngày đánh giá: 26/04/2025</t>
  </si>
  <si>
    <t>Từ 28/04-29/04/2025</t>
  </si>
  <si>
    <t>- Làm video truyền thông</t>
  </si>
  <si>
    <t>- Làm video truyền thông giới thiệu phần mềm</t>
  </si>
  <si>
    <t>- Triển khai phần dầm thép</t>
  </si>
  <si>
    <t xml:space="preserve">- Triển khai dầm chính, dầm phụ và các biến thể </t>
  </si>
  <si>
    <t>Cải thiện thêm.</t>
  </si>
  <si>
    <t>MẪU BÁO CÁO ĐÁNH GIÁ  KẾT QUẢ HOÀN THÀNH CÔNG VIỆC TUẦN 1-T5/2025</t>
  </si>
  <si>
    <t>Ngày đánh giá: 10/05/2025</t>
  </si>
  <si>
    <t>Từ 12/05-17/05/2025</t>
  </si>
  <si>
    <t>MẪU BÁO CÁO ĐÁNH GIÁ  KẾT QUẢ HOÀN THÀNH CÔNG VIỆC TUẦN 2-T5/2025</t>
  </si>
  <si>
    <t>Ngày đánh giá: 17/05/2025</t>
  </si>
  <si>
    <t>Từ 19/05-24/05/2025</t>
  </si>
  <si>
    <t>Hà</t>
  </si>
  <si>
    <t>MẪU BÁO CÁO ĐÁNH GIÁ  KẾT QUẢ HOÀN THÀNH CÔNG VIỆC TUẦN 5-T5/2025</t>
  </si>
  <si>
    <t>Ngày đánh giá: 31/05/2025</t>
  </si>
  <si>
    <t>- Thực hiện phần vẽ Canopy</t>
  </si>
  <si>
    <t>Từ 02/06-07/06/2025</t>
  </si>
  <si>
    <t>MẪU BÁO CÁO ĐÁNH GIÁ  KẾT QUẢ HOÀN THÀNH CÔNG VIỆC THÁNG 05/2024</t>
  </si>
  <si>
    <t>MẪU BÁO CÁO ĐÁNH GIÁ  KẾT QUẢ HOÀN THÀNH CÔNG VIỆC TUẦN 1-T6/2025</t>
  </si>
  <si>
    <t>Ngày đánh giá: 07/06/2025</t>
  </si>
  <si>
    <t>Từ 09/06-14/06/2025</t>
  </si>
  <si>
    <t>MẪU BÁO CÁO ĐÁNH GIÁ  KẾT QUẢ HOÀN THÀNH CÔNG VIỆC TUẦN 2-T6/2025</t>
  </si>
  <si>
    <t>Ngày đánh giá: 14/06/2025</t>
  </si>
  <si>
    <t>- Ghép code với phần dầm hiện có</t>
  </si>
  <si>
    <t>Từ 16/06-21/06/2025</t>
  </si>
  <si>
    <t>MẪU BÁO CÁO ĐÁNH GIÁ  KẾT QUẢ HOÀN THÀNH CÔNG VIỆC TUẦN 3-T6/2025</t>
  </si>
  <si>
    <t>Ngày đánh giá: 21/06/2025</t>
  </si>
  <si>
    <t>- Thực hiện phần vẽ Canopy, Cửa Trời</t>
  </si>
  <si>
    <t>Từ 23/06-28/06/2025</t>
  </si>
  <si>
    <t>MẪU BÁO CÁO ĐÁNH GIÁ  KẾT QUẢ HOÀN THÀNH CÔNG VIỆC TUẦN 4-T6/2025</t>
  </si>
  <si>
    <t>Ngày đánh giá: 28/06/2025</t>
  </si>
  <si>
    <t>- Vẽ Canopy trong Autocad</t>
  </si>
  <si>
    <t>Từ 30/06-05/07/2025</t>
  </si>
  <si>
    <t>MẪU BÁO CÁO ĐÁNH GIÁ  KẾT QUẢ HOÀN THÀNH CÔNG VIỆC THÁNG 06/2024</t>
  </si>
  <si>
    <t>Kế hoạch công việc tháng 6/2025</t>
  </si>
  <si>
    <t xml:space="preserve">- Ghép code phần dầm cũ </t>
  </si>
  <si>
    <t>- Ghép code phần dầm cũ</t>
  </si>
  <si>
    <t>- Triển khai Canopy</t>
  </si>
  <si>
    <t xml:space="preserve">- Chưa Hoàn Thành </t>
  </si>
  <si>
    <t>MẪU BÁO CÁO ĐÁNH GIÁ  KẾT QUẢ HOÀN THÀNH CÔNG VIỆC TUẦN 1-T7/2025</t>
  </si>
  <si>
    <t>Ngày đánh giá: 05/07/2025</t>
  </si>
  <si>
    <t>- Triển khai phần Canopy</t>
  </si>
  <si>
    <t>- Làm video giới thiệu phần mềm triển khai dầm thép</t>
  </si>
  <si>
    <t>Từ 07/07-12/07/2025</t>
  </si>
  <si>
    <t>MẪU BÁO CÁO ĐÁNH GIÁ  KẾT QUẢ HOÀN THÀNH CÔNG VIỆC TUẦN 3-T7/2025</t>
  </si>
  <si>
    <t>Ngày đánh giá: 19/07/2025</t>
  </si>
  <si>
    <t>- Thực hiện phần vẽ cửa trời</t>
  </si>
  <si>
    <t>Từ 21/07-26/07/2025</t>
  </si>
  <si>
    <t>MẪU BÁO CÁO ĐÁNH GIÁ  KẾT QUẢ HOÀN THÀNH CÔNG VIỆC TUẦN 4-T7/2025</t>
  </si>
  <si>
    <t>Ngày đánh giá: 26/07/2025</t>
  </si>
  <si>
    <t>- Tìm hiểu và thực hiện phần Canopy</t>
  </si>
  <si>
    <t>- Chức năng nhấn thép</t>
  </si>
  <si>
    <t>Từ 28/07-02/08/2025</t>
  </si>
  <si>
    <t>MẪU BÁO CÁO ĐÁNH GIÁ  KẾT QUẢ HOÀN THÀNH CÔNG VIỆC TUẦN 5-T7/2025</t>
  </si>
  <si>
    <t>Ngày đánh giá: 02/08/2025</t>
  </si>
  <si>
    <t>- Sửa lỗi và nâng cấp</t>
  </si>
  <si>
    <t>- Làm video giới thiệu phần nhấn thép dầm</t>
  </si>
  <si>
    <t>Từ 04/08-09/08/2025</t>
  </si>
  <si>
    <t>MẪU BÁO CÁO ĐÁNH GIÁ  KẾT QUẢ HOÀN THÀNH CÔNG VIỆC TUẦN 1-T8/2025</t>
  </si>
  <si>
    <t>Ngày đánh giá: 09/08/2025</t>
  </si>
  <si>
    <t>- Phần mềm gia cường thép lớp trên</t>
  </si>
  <si>
    <t>- File tổng hợp giới thiệu các chức năng phần mềm</t>
  </si>
  <si>
    <t>Từ 11/08-16/08/2025</t>
  </si>
  <si>
    <t>Ngày đánh giá: 16/08/2025</t>
  </si>
  <si>
    <t>Từ 18/08-23/08/2025</t>
  </si>
  <si>
    <t>MẪU BÁO CÁO ĐÁNH GIÁ  KẾT QUẢ HOÀN THÀNH CÔNG VIỆC TUẦN 2-T8/2025</t>
  </si>
  <si>
    <t>MẪU BÁO CÁO ĐÁNH GIÁ  KẾT QUẢ HOÀN THÀNH CÔNG VIỆC TUẦN 2-T9/2025</t>
  </si>
  <si>
    <t>Ngày đánh giá: 13/09/2025</t>
  </si>
  <si>
    <t>- Phần mềm vẽ cống hộp</t>
  </si>
  <si>
    <t>Từ 15/09-20/09/2025</t>
  </si>
  <si>
    <t>MẪU BÁO CÁO ĐÁNH GIÁ  KẾT QUẢ HOÀN THÀNH CÔNG VIỆC TUẦN 3-T9/2025</t>
  </si>
  <si>
    <t>Ngày đánh giá: 20/09/2025</t>
  </si>
  <si>
    <t>Từ 22/09-27/09/2025</t>
  </si>
  <si>
    <t>MẪU BÁO CÁO ĐÁNH GIÁ  KẾT QUẢ HOÀN THÀNH CÔNG VIỆC TUẦN 4-T9/2025</t>
  </si>
  <si>
    <t>Ngày đánh giá: 27/09/2025</t>
  </si>
  <si>
    <t>- Triển khai thêm các mặt cắt còn lại của cống hộp</t>
  </si>
  <si>
    <t>Từ 29/09-04/10/2025</t>
  </si>
  <si>
    <t>MẪU BÁO CÁO ĐÁNH GIÁ  KẾT QUẢ HOÀN THÀNH CÔNG VIỆC THÁNG 09/2024</t>
  </si>
  <si>
    <t>- Triển khai công cụ gia cường thép lớp trên dầm</t>
  </si>
  <si>
    <t>- Triển khai công cụ vẽ chi tiết cống hộp</t>
  </si>
  <si>
    <t>MẪU BÁO CÁO ĐÁNH GIÁ  KẾT QUẢ HOÀN THÀNH CÔNG VIỆC TUẦN 1-T10/2025</t>
  </si>
  <si>
    <t>Ngày đánh giá: 11/10/2025</t>
  </si>
  <si>
    <t>- Nâng cấp công cụ gia cường thép lớp trên dầm</t>
  </si>
  <si>
    <t>- Nâng cấp công cụ vẽ chi tiết cống hộp</t>
  </si>
  <si>
    <t>Từ 13/10-18/10/2025</t>
  </si>
  <si>
    <t>- Triển khai các hệ dàn thường gặp</t>
  </si>
  <si>
    <t>MẪU BÁO CÁO ĐÁNH GIÁ  KẾT QUẢ HOÀN THÀNH CÔNG VIỆC TUẦN 3-T10/2025</t>
  </si>
  <si>
    <t>Ngày đánh giá: 18/10/2025</t>
  </si>
  <si>
    <t>- Công cụ nhấn thép sàn</t>
  </si>
  <si>
    <t>Từ 20/10-25/10/2025</t>
  </si>
  <si>
    <t>MẪU BÁO CÁO ĐÁNH GIÁ  KẾT QUẢ HOÀN THÀNH CÔNG VIỆC TUẦN 3-T11/2025</t>
  </si>
  <si>
    <t>Ngày đánh giá: 22/11/2025</t>
  </si>
  <si>
    <t>- Triển khai vẽ bể nước, vẽ bể phốt</t>
  </si>
  <si>
    <t>- Chỉnh sữa QuickDraw và ghép phần vẽ bể nước vào QuickDraw</t>
  </si>
  <si>
    <t>- Chỉnh sữa hàm đánh số cọc</t>
  </si>
  <si>
    <t>- Nghiên cứu chức năng tự động đánh tên dầm trên mặt bằng</t>
  </si>
  <si>
    <t>- Nghiên cứu bản vẽ cọc khoan nhồi</t>
  </si>
  <si>
    <t>Từ 24/11-29/11/2025</t>
  </si>
  <si>
    <t>MẪU BÁO CÁO ĐÁNH GIÁ  KẾT QUẢ HOÀN THÀNH CÔNG VIỆC TUẦN 4-T11/2025</t>
  </si>
  <si>
    <t>Ngày đánh giá: 29/11/2025</t>
  </si>
  <si>
    <t>- Sửa quickdraw</t>
  </si>
  <si>
    <t>Từ 01/12-06/12/2025</t>
  </si>
  <si>
    <t>- Triển khai công cụ nhấn thép sàn</t>
  </si>
  <si>
    <t>- Triển khai công cụ vẽ cống hộp</t>
  </si>
  <si>
    <t>- Triển khai công cụ vẽ bể nước</t>
  </si>
  <si>
    <t>- Triển khai QuickDraw</t>
  </si>
  <si>
    <t>MẪU BÁO CÁO ĐÁNH GIÁ  KẾT QUẢ HOÀN THÀNH CÔNG VIỆC THÁNG 11/2024</t>
  </si>
  <si>
    <t>Kế hoạch công việc tháng 11/2025</t>
  </si>
  <si>
    <t>MẪU BÁO CÁO ĐÁNH GIÁ  KẾT QUẢ HOÀN THÀNH CÔNG VIỆC TUẦN 1-T12/2025</t>
  </si>
  <si>
    <t>Ngày đánh giá: 06/12/2025</t>
  </si>
  <si>
    <t>- Chức năng quét dầm đơn giản tạo thống kê</t>
  </si>
  <si>
    <t>Từ 08/12-13/12/2025</t>
  </si>
  <si>
    <t>MẪU BÁO CÁO ĐÁNH GIÁ  KẾT QUẢ HOÀN THÀNH CÔNG VIỆC TUẦN 2-T12/2025</t>
  </si>
  <si>
    <t>Ngày đánh giá: 13/12/2025</t>
  </si>
  <si>
    <t>- Triển khai thép cho đài hình dạng bất kỳ</t>
  </si>
  <si>
    <t>Từ 15/12-20/12/2025</t>
  </si>
  <si>
    <t>- Thu thập bản vẽ cọc khoan nhồi</t>
  </si>
  <si>
    <t>- Hoàn thiện chức năng vẽ vách bể</t>
  </si>
  <si>
    <t>- Triển khai vẽ bể nước, vẽ bể phốt, vẽ vách bể</t>
  </si>
  <si>
    <t>MẪU BÁO CÁO ĐÁNH GIÁ  KẾT QUẢ HOÀN THÀNH CÔNG VIỆC TUẦN 4-T12/2025</t>
  </si>
  <si>
    <t>Ngày đánh giá: 27/12/2025</t>
  </si>
  <si>
    <t>- Vẽ tấm đan</t>
  </si>
  <si>
    <t>- Cắt video HNKH</t>
  </si>
  <si>
    <t>- Dim đài cọc</t>
  </si>
  <si>
    <t>- Dim cọc ( chỉnh sửa và nâng cấp)</t>
  </si>
  <si>
    <t>Từ 29/12-3/01/2026</t>
  </si>
  <si>
    <t>P</t>
  </si>
  <si>
    <t>- Triển khai vẽ vách bể</t>
  </si>
  <si>
    <t>- Triển khai công cụ vẽ bể nước, bể phốt</t>
  </si>
  <si>
    <t>- Sửa QuickDraw</t>
  </si>
  <si>
    <t>- Triển khai thống kê hàng loạt dầm đơn giản</t>
  </si>
  <si>
    <t>- Sửa dim cọc</t>
  </si>
  <si>
    <t>Kế hoạch công việc tháng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</si>
</sst>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* #,##0.00\ _€_-;\-* #,##0.00\ _€_-;_-* &quot;-&quot;??\ _€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  <font>
      <sz val="11"/>
      <color indexed="8"/>
      <name val="Calibri"/>
      <family val="2"/>
    </font>
    <font>
      <sz val="12"/>
      <name val=".VnTime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222222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2"/>
      <charset val="163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2"/>
      <charset val="163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3"/>
      <color theme="1"/>
      <name val="Times New Roman"/>
      <family val="2"/>
      <charset val="163"/>
    </font>
    <font>
      <b/>
      <sz val="14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5" fontId="3" fillId="0" borderId="1" xfId="1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9" fontId="2" fillId="0" borderId="3" xfId="0" applyNumberFormat="1" applyFont="1" applyBorder="1"/>
    <xf numFmtId="165" fontId="2" fillId="0" borderId="3" xfId="1" applyNumberFormat="1" applyFont="1" applyBorder="1"/>
    <xf numFmtId="165" fontId="3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165" fontId="2" fillId="0" borderId="2" xfId="1" applyNumberFormat="1" applyFont="1" applyBorder="1"/>
    <xf numFmtId="165" fontId="3" fillId="0" borderId="2" xfId="0" applyNumberFormat="1" applyFont="1" applyBorder="1"/>
    <xf numFmtId="165" fontId="2" fillId="0" borderId="4" xfId="0" applyNumberFormat="1" applyFont="1" applyBorder="1"/>
    <xf numFmtId="165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9" fontId="2" fillId="0" borderId="2" xfId="0" applyNumberFormat="1" applyFont="1" applyBorder="1"/>
    <xf numFmtId="0" fontId="2" fillId="0" borderId="4" xfId="0" applyFont="1" applyBorder="1" applyAlignment="1">
      <alignment horizontal="left"/>
    </xf>
    <xf numFmtId="165" fontId="5" fillId="0" borderId="2" xfId="1" applyNumberFormat="1" applyFont="1" applyBorder="1"/>
    <xf numFmtId="165" fontId="5" fillId="0" borderId="3" xfId="1" applyNumberFormat="1" applyFont="1" applyBorder="1"/>
    <xf numFmtId="9" fontId="5" fillId="0" borderId="3" xfId="0" applyNumberFormat="1" applyFont="1" applyBorder="1"/>
    <xf numFmtId="165" fontId="3" fillId="0" borderId="0" xfId="1" applyNumberFormat="1" applyFont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3" fillId="0" borderId="0" xfId="1" applyNumberFormat="1" applyFont="1" applyAlignment="1">
      <alignment horizont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9" fontId="10" fillId="0" borderId="11" xfId="0" applyNumberFormat="1" applyFont="1" applyBorder="1" applyAlignment="1">
      <alignment horizontal="right" vertical="center"/>
    </xf>
    <xf numFmtId="165" fontId="2" fillId="0" borderId="0" xfId="1" applyNumberFormat="1" applyFont="1"/>
    <xf numFmtId="0" fontId="10" fillId="0" borderId="11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9" fontId="2" fillId="0" borderId="1" xfId="0" applyNumberFormat="1" applyFont="1" applyBorder="1"/>
    <xf numFmtId="0" fontId="16" fillId="0" borderId="0" xfId="6" applyAlignment="1">
      <alignment vertical="center"/>
    </xf>
    <xf numFmtId="0" fontId="16" fillId="0" borderId="0" xfId="6" applyAlignment="1">
      <alignment horizontal="center" vertical="center"/>
    </xf>
    <xf numFmtId="0" fontId="17" fillId="0" borderId="0" xfId="6" applyFont="1" applyAlignment="1">
      <alignment vertical="center" wrapText="1"/>
    </xf>
    <xf numFmtId="0" fontId="18" fillId="2" borderId="0" xfId="6" applyFont="1" applyFill="1" applyAlignment="1">
      <alignment vertical="center"/>
    </xf>
    <xf numFmtId="0" fontId="19" fillId="0" borderId="0" xfId="6" applyFont="1" applyAlignment="1">
      <alignment vertical="center"/>
    </xf>
    <xf numFmtId="0" fontId="19" fillId="0" borderId="0" xfId="6" applyFont="1" applyAlignment="1">
      <alignment horizontal="center" vertical="center"/>
    </xf>
    <xf numFmtId="0" fontId="20" fillId="0" borderId="1" xfId="6" applyFont="1" applyBorder="1" applyAlignment="1">
      <alignment horizontal="center" vertical="center" wrapText="1"/>
    </xf>
    <xf numFmtId="0" fontId="21" fillId="0" borderId="0" xfId="6" applyFont="1" applyAlignment="1">
      <alignment vertical="center"/>
    </xf>
    <xf numFmtId="0" fontId="22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/>
    </xf>
    <xf numFmtId="9" fontId="13" fillId="0" borderId="1" xfId="6" applyNumberFormat="1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vertical="center"/>
    </xf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vertical="center"/>
    </xf>
    <xf numFmtId="0" fontId="13" fillId="0" borderId="1" xfId="6" applyFont="1" applyBorder="1" applyAlignment="1">
      <alignment horizontal="center" vertical="center" wrapText="1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vertical="center"/>
    </xf>
    <xf numFmtId="0" fontId="24" fillId="0" borderId="5" xfId="6" applyFont="1" applyBorder="1" applyAlignment="1">
      <alignment vertical="center"/>
    </xf>
    <xf numFmtId="0" fontId="24" fillId="0" borderId="6" xfId="6" applyFont="1" applyBorder="1" applyAlignment="1">
      <alignment vertical="center"/>
    </xf>
    <xf numFmtId="0" fontId="24" fillId="0" borderId="7" xfId="6" applyFont="1" applyBorder="1" applyAlignment="1">
      <alignment vertical="center"/>
    </xf>
    <xf numFmtId="0" fontId="16" fillId="0" borderId="1" xfId="6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left" vertical="center"/>
    </xf>
    <xf numFmtId="0" fontId="24" fillId="0" borderId="0" xfId="6" applyFont="1" applyAlignment="1">
      <alignment horizontal="center" vertical="center"/>
    </xf>
    <xf numFmtId="0" fontId="24" fillId="0" borderId="0" xfId="6" applyFont="1" applyAlignment="1">
      <alignment horizontal="left" vertical="center"/>
    </xf>
    <xf numFmtId="0" fontId="13" fillId="0" borderId="1" xfId="5" applyNumberFormat="1" applyFont="1" applyFill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0" xfId="6" applyFont="1" applyAlignment="1">
      <alignment vertical="center"/>
    </xf>
    <xf numFmtId="0" fontId="12" fillId="0" borderId="0" xfId="6" applyFont="1" applyAlignment="1">
      <alignment horizontal="right" vertical="center"/>
    </xf>
    <xf numFmtId="0" fontId="20" fillId="0" borderId="0" xfId="6" applyFont="1" applyAlignment="1">
      <alignment horizontal="center" vertical="center" wrapText="1"/>
    </xf>
    <xf numFmtId="9" fontId="13" fillId="0" borderId="0" xfId="6" applyNumberFormat="1" applyFont="1" applyAlignment="1">
      <alignment horizontal="center" vertical="center"/>
    </xf>
    <xf numFmtId="9" fontId="13" fillId="0" borderId="0" xfId="5" applyFont="1" applyFill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49" fontId="22" fillId="0" borderId="1" xfId="6" applyNumberFormat="1" applyFont="1" applyBorder="1" applyAlignment="1">
      <alignment horizontal="left" vertical="center" wrapText="1"/>
    </xf>
    <xf numFmtId="0" fontId="14" fillId="0" borderId="1" xfId="6" quotePrefix="1" applyFont="1" applyBorder="1" applyAlignment="1">
      <alignment horizontal="center" vertical="center" wrapText="1"/>
    </xf>
    <xf numFmtId="49" fontId="22" fillId="0" borderId="1" xfId="6" quotePrefix="1" applyNumberFormat="1" applyFont="1" applyBorder="1" applyAlignment="1">
      <alignment vertical="center" wrapText="1"/>
    </xf>
    <xf numFmtId="49" fontId="22" fillId="0" borderId="1" xfId="6" applyNumberFormat="1" applyFont="1" applyBorder="1" applyAlignment="1">
      <alignment vertical="center" wrapText="1"/>
    </xf>
    <xf numFmtId="9" fontId="22" fillId="0" borderId="1" xfId="5" applyNumberFormat="1" applyFont="1" applyBorder="1" applyAlignment="1">
      <alignment horizontal="center" vertical="center" wrapText="1"/>
    </xf>
    <xf numFmtId="0" fontId="21" fillId="0" borderId="1" xfId="6" applyFont="1" applyBorder="1" applyAlignment="1">
      <alignment vertical="center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21" fillId="0" borderId="0" xfId="6" quotePrefix="1" applyFont="1" applyAlignment="1">
      <alignment vertical="center"/>
    </xf>
    <xf numFmtId="0" fontId="21" fillId="0" borderId="1" xfId="6" quotePrefix="1" applyFont="1" applyBorder="1" applyAlignment="1">
      <alignment vertical="center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14" fillId="0" borderId="0" xfId="6" applyFont="1" applyBorder="1" applyAlignment="1">
      <alignment vertical="center"/>
    </xf>
    <xf numFmtId="49" fontId="24" fillId="0" borderId="0" xfId="6" applyNumberFormat="1" applyFont="1" applyBorder="1" applyAlignment="1">
      <alignment vertical="center"/>
    </xf>
    <xf numFmtId="0" fontId="2" fillId="0" borderId="0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top" wrapText="1"/>
    </xf>
    <xf numFmtId="0" fontId="3" fillId="0" borderId="1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 wrapText="1"/>
    </xf>
    <xf numFmtId="49" fontId="10" fillId="0" borderId="1" xfId="6" quotePrefix="1" applyNumberFormat="1" applyFont="1" applyBorder="1" applyAlignment="1">
      <alignment vertical="center" wrapText="1"/>
    </xf>
    <xf numFmtId="49" fontId="16" fillId="0" borderId="1" xfId="6" applyNumberFormat="1" applyFont="1" applyBorder="1" applyAlignment="1">
      <alignment horizontal="center" vertical="center"/>
    </xf>
    <xf numFmtId="0" fontId="27" fillId="0" borderId="0" xfId="6" applyFont="1" applyAlignment="1">
      <alignment vertical="center"/>
    </xf>
    <xf numFmtId="0" fontId="25" fillId="0" borderId="0" xfId="6" applyFont="1" applyAlignment="1">
      <alignment horizontal="center" vertical="center" wrapText="1"/>
    </xf>
    <xf numFmtId="0" fontId="12" fillId="0" borderId="0" xfId="6" applyFont="1" applyAlignment="1">
      <alignment horizontal="center"/>
    </xf>
    <xf numFmtId="0" fontId="13" fillId="0" borderId="1" xfId="6" applyFont="1" applyBorder="1" applyAlignment="1">
      <alignment horizontal="center" vertical="center" wrapText="1"/>
    </xf>
    <xf numFmtId="49" fontId="24" fillId="0" borderId="1" xfId="6" applyNumberFormat="1" applyFont="1" applyBorder="1" applyAlignment="1">
      <alignment vertical="center" wrapText="1"/>
    </xf>
    <xf numFmtId="49" fontId="24" fillId="0" borderId="5" xfId="6" applyNumberFormat="1" applyFont="1" applyBorder="1" applyAlignment="1">
      <alignment vertical="center" wrapText="1"/>
    </xf>
    <xf numFmtId="49" fontId="24" fillId="0" borderId="6" xfId="6" applyNumberFormat="1" applyFont="1" applyBorder="1" applyAlignment="1">
      <alignment vertical="center" wrapText="1"/>
    </xf>
    <xf numFmtId="49" fontId="24" fillId="0" borderId="7" xfId="6" applyNumberFormat="1" applyFont="1" applyBorder="1" applyAlignment="1">
      <alignment vertical="center" wrapText="1"/>
    </xf>
    <xf numFmtId="49" fontId="24" fillId="0" borderId="1" xfId="6" applyNumberFormat="1" applyFont="1" applyBorder="1" applyAlignment="1">
      <alignment vertical="top" wrapText="1"/>
    </xf>
    <xf numFmtId="49" fontId="24" fillId="0" borderId="1" xfId="6" applyNumberFormat="1" applyFont="1" applyBorder="1" applyAlignment="1">
      <alignment horizontal="left" vertical="center" wrapText="1"/>
    </xf>
    <xf numFmtId="49" fontId="24" fillId="0" borderId="5" xfId="6" applyNumberFormat="1" applyFont="1" applyBorder="1" applyAlignment="1">
      <alignment horizontal="left" vertical="top" wrapText="1"/>
    </xf>
    <xf numFmtId="49" fontId="24" fillId="0" borderId="6" xfId="6" applyNumberFormat="1" applyFont="1" applyBorder="1" applyAlignment="1">
      <alignment horizontal="left" vertical="top" wrapText="1"/>
    </xf>
    <xf numFmtId="49" fontId="24" fillId="0" borderId="7" xfId="6" applyNumberFormat="1" applyFont="1" applyBorder="1" applyAlignment="1">
      <alignment horizontal="left" vertical="top" wrapText="1"/>
    </xf>
    <xf numFmtId="0" fontId="3" fillId="0" borderId="5" xfId="6" applyFont="1" applyBorder="1" applyAlignment="1">
      <alignment horizontal="center" vertical="center"/>
    </xf>
    <xf numFmtId="0" fontId="3" fillId="0" borderId="6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24" fillId="0" borderId="5" xfId="6" applyFont="1" applyBorder="1" applyAlignment="1">
      <alignment vertical="center" wrapText="1"/>
    </xf>
    <xf numFmtId="0" fontId="24" fillId="0" borderId="6" xfId="6" applyFont="1" applyBorder="1" applyAlignment="1">
      <alignment vertical="center" wrapText="1"/>
    </xf>
    <xf numFmtId="0" fontId="24" fillId="0" borderId="7" xfId="6" applyFont="1" applyBorder="1" applyAlignment="1">
      <alignment vertical="center" wrapText="1"/>
    </xf>
    <xf numFmtId="49" fontId="24" fillId="0" borderId="12" xfId="6" applyNumberFormat="1" applyFont="1" applyBorder="1" applyAlignment="1">
      <alignment horizontal="center" vertical="center"/>
    </xf>
    <xf numFmtId="49" fontId="24" fillId="0" borderId="13" xfId="6" applyNumberFormat="1" applyFont="1" applyBorder="1" applyAlignment="1">
      <alignment horizontal="center" vertical="center"/>
    </xf>
    <xf numFmtId="0" fontId="24" fillId="0" borderId="1" xfId="6" applyFont="1" applyBorder="1" applyAlignment="1">
      <alignment horizontal="left" vertical="center"/>
    </xf>
    <xf numFmtId="0" fontId="24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center" vertical="center"/>
    </xf>
    <xf numFmtId="0" fontId="2" fillId="0" borderId="5" xfId="6" quotePrefix="1" applyFont="1" applyBorder="1" applyAlignment="1">
      <alignment horizontal="left" vertical="center" wrapText="1"/>
    </xf>
    <xf numFmtId="0" fontId="2" fillId="0" borderId="6" xfId="6" applyFont="1" applyBorder="1" applyAlignment="1">
      <alignment horizontal="left" vertical="center" wrapText="1"/>
    </xf>
    <xf numFmtId="0" fontId="2" fillId="0" borderId="7" xfId="6" applyFont="1" applyBorder="1" applyAlignment="1">
      <alignment horizontal="left" vertical="center" wrapText="1"/>
    </xf>
    <xf numFmtId="49" fontId="24" fillId="0" borderId="14" xfId="6" applyNumberFormat="1" applyFont="1" applyBorder="1" applyAlignment="1">
      <alignment horizontal="center" vertical="center"/>
    </xf>
    <xf numFmtId="49" fontId="24" fillId="0" borderId="1" xfId="6" applyNumberFormat="1" applyFont="1" applyBorder="1" applyAlignment="1">
      <alignment vertical="top"/>
    </xf>
    <xf numFmtId="49" fontId="24" fillId="0" borderId="1" xfId="6" applyNumberFormat="1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left" vertical="top" wrapText="1"/>
    </xf>
    <xf numFmtId="0" fontId="2" fillId="0" borderId="1" xfId="6" quotePrefix="1" applyFont="1" applyBorder="1" applyAlignment="1">
      <alignment horizontal="left" vertical="center" wrapText="1"/>
    </xf>
    <xf numFmtId="0" fontId="2" fillId="0" borderId="1" xfId="6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8">
    <cellStyle name="Comma" xfId="1" builtinId="3"/>
    <cellStyle name="Comma [0] 3" xfId="2"/>
    <cellStyle name="Comma 2 4" xfId="3"/>
    <cellStyle name="Normal" xfId="0" builtinId="0"/>
    <cellStyle name="Normal 2" xfId="4"/>
    <cellStyle name="Normal 3" xfId="6"/>
    <cellStyle name="Percent" xfId="5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Ơ ĐỒ"/>
      <sheetName val="DMTK"/>
      <sheetName val="DMHH"/>
      <sheetName val="PB CPMH"/>
      <sheetName val="BK PHIẾU NHẬP - XUẤT"/>
      <sheetName val="SỔ CT VT-HH"/>
      <sheetName val="BẢNG TH N-X-T"/>
      <sheetName val="PB CPTT - TK 242"/>
      <sheetName val="KH TSCĐ "/>
      <sheetName val="B.CHẤM CÔNG"/>
      <sheetName val="01b-LĐTL"/>
      <sheetName val="TH - PHẢI THU KH - TK 131"/>
      <sheetName val="TH - PHẢI TRẢ NB - TK 331"/>
      <sheetName val="TT THUẾ TNDN"/>
      <sheetName val="BẢNG KÊ CP KĐT"/>
      <sheetName val="NHẬT KÝ CHUNG"/>
      <sheetName val="CĐTK"/>
      <sheetName val="BC THTC B01a"/>
      <sheetName val="BC KQKD"/>
      <sheetName val="BC LCTT"/>
      <sheetName val="TM BCTC"/>
      <sheetName val="SỔ QUỸ TM"/>
      <sheetName val="SỔ TIỀN GỬI NH"/>
      <sheetName val="SỔ CÁI CÁC TK"/>
      <sheetName val="SỔ CHI TIẾT TK"/>
      <sheetName val="PHIẾU KẾ TOÁN"/>
      <sheetName val="PHIẾU NHẬP KHO"/>
      <sheetName val="PHIẾU XUẤT KHO"/>
      <sheetName val="DANH MUC CHUNG TU"/>
      <sheetName val="02-LĐTL"/>
      <sheetName val="03-LĐTL"/>
      <sheetName val="04-LĐTL"/>
      <sheetName val="06-LĐTL"/>
      <sheetName val="05-LĐTL"/>
      <sheetName val="07-LĐTL"/>
      <sheetName val="08-LĐTL"/>
      <sheetName val="09-LĐTL"/>
      <sheetName val="10-LĐTL"/>
      <sheetName val="11-LĐTL"/>
      <sheetName val="03-VT"/>
      <sheetName val="04-VT"/>
      <sheetName val="05-VT"/>
      <sheetName val="06-VT"/>
      <sheetName val="07-VT"/>
      <sheetName val="01-BH"/>
      <sheetName val="02-BH"/>
      <sheetName val="07-TT"/>
      <sheetName val="08a-TT"/>
      <sheetName val="08b-TT"/>
      <sheetName val="09-TT"/>
      <sheetName val="01-TSCĐ"/>
      <sheetName val="02-TSCĐ"/>
      <sheetName val="03-TSCĐ"/>
      <sheetName val="04-TSCĐ"/>
      <sheetName val="05-TSCĐ"/>
      <sheetName val="06-TSCĐ"/>
      <sheetName val="HĐLĐ"/>
      <sheetName val="HĐKT"/>
      <sheetName val="02 CK-TNCN"/>
    </sheetNames>
    <sheetDataSet>
      <sheetData sheetId="0">
        <row r="28">
          <cell r="G28" t="str">
            <v>Công Ty Kế toán Thiên Ưng</v>
          </cell>
        </row>
      </sheetData>
      <sheetData sheetId="1">
        <row r="7">
          <cell r="A7" t="str">
            <v>111</v>
          </cell>
        </row>
        <row r="8">
          <cell r="A8">
            <v>1111</v>
          </cell>
        </row>
        <row r="9">
          <cell r="A9">
            <v>1112</v>
          </cell>
        </row>
        <row r="10">
          <cell r="A10">
            <v>112</v>
          </cell>
        </row>
        <row r="11">
          <cell r="A11">
            <v>1121</v>
          </cell>
        </row>
        <row r="12">
          <cell r="A12">
            <v>1122</v>
          </cell>
        </row>
        <row r="13">
          <cell r="A13">
            <v>121</v>
          </cell>
        </row>
        <row r="14">
          <cell r="A14">
            <v>128</v>
          </cell>
        </row>
        <row r="15">
          <cell r="A15">
            <v>1281</v>
          </cell>
        </row>
        <row r="16">
          <cell r="A16">
            <v>1288</v>
          </cell>
        </row>
        <row r="17">
          <cell r="A17">
            <v>131</v>
          </cell>
        </row>
        <row r="18">
          <cell r="A18" t="str">
            <v>131DA</v>
          </cell>
        </row>
        <row r="19">
          <cell r="A19" t="str">
            <v>131DH</v>
          </cell>
        </row>
        <row r="20">
          <cell r="A20" t="str">
            <v>131HN</v>
          </cell>
        </row>
        <row r="21">
          <cell r="A21" t="str">
            <v>131HD</v>
          </cell>
        </row>
        <row r="22">
          <cell r="A22" t="str">
            <v>131HY</v>
          </cell>
        </row>
        <row r="23">
          <cell r="A23" t="str">
            <v>131MC</v>
          </cell>
        </row>
        <row r="25">
          <cell r="A25">
            <v>133</v>
          </cell>
        </row>
        <row r="26">
          <cell r="A26">
            <v>1331</v>
          </cell>
        </row>
        <row r="27">
          <cell r="A27">
            <v>1332</v>
          </cell>
        </row>
        <row r="28">
          <cell r="A28">
            <v>136</v>
          </cell>
        </row>
        <row r="29">
          <cell r="A29">
            <v>1361</v>
          </cell>
        </row>
        <row r="30">
          <cell r="A30">
            <v>1368</v>
          </cell>
        </row>
        <row r="31">
          <cell r="A31">
            <v>138</v>
          </cell>
        </row>
        <row r="32">
          <cell r="A32">
            <v>1381</v>
          </cell>
        </row>
        <row r="33">
          <cell r="A33">
            <v>1386</v>
          </cell>
        </row>
        <row r="34">
          <cell r="A34">
            <v>1388</v>
          </cell>
        </row>
        <row r="35">
          <cell r="A35">
            <v>141</v>
          </cell>
        </row>
        <row r="36">
          <cell r="A36">
            <v>151</v>
          </cell>
        </row>
        <row r="37">
          <cell r="A37">
            <v>152</v>
          </cell>
        </row>
        <row r="38">
          <cell r="A38">
            <v>153</v>
          </cell>
        </row>
        <row r="39">
          <cell r="A39">
            <v>154</v>
          </cell>
        </row>
        <row r="40">
          <cell r="A40">
            <v>1541</v>
          </cell>
        </row>
        <row r="41">
          <cell r="A41">
            <v>1542</v>
          </cell>
        </row>
        <row r="42">
          <cell r="A42">
            <v>1547</v>
          </cell>
        </row>
        <row r="43">
          <cell r="A43">
            <v>155</v>
          </cell>
        </row>
        <row r="44">
          <cell r="A44">
            <v>156</v>
          </cell>
        </row>
        <row r="45">
          <cell r="A45">
            <v>157</v>
          </cell>
        </row>
        <row r="46">
          <cell r="A46">
            <v>211</v>
          </cell>
        </row>
        <row r="47">
          <cell r="A47">
            <v>2111</v>
          </cell>
        </row>
        <row r="48">
          <cell r="A48">
            <v>2112</v>
          </cell>
        </row>
        <row r="49">
          <cell r="A49">
            <v>2113</v>
          </cell>
        </row>
        <row r="50">
          <cell r="A50">
            <v>214</v>
          </cell>
        </row>
        <row r="51">
          <cell r="A51">
            <v>2141</v>
          </cell>
        </row>
        <row r="52">
          <cell r="A52">
            <v>2142</v>
          </cell>
        </row>
        <row r="53">
          <cell r="A53">
            <v>2143</v>
          </cell>
        </row>
        <row r="54">
          <cell r="A54">
            <v>2147</v>
          </cell>
        </row>
        <row r="55">
          <cell r="A55">
            <v>217</v>
          </cell>
        </row>
        <row r="56">
          <cell r="A56">
            <v>228</v>
          </cell>
        </row>
        <row r="57">
          <cell r="A57">
            <v>2281</v>
          </cell>
        </row>
        <row r="58">
          <cell r="A58">
            <v>2288</v>
          </cell>
        </row>
        <row r="59">
          <cell r="A59">
            <v>229</v>
          </cell>
        </row>
        <row r="60">
          <cell r="A60">
            <v>2291</v>
          </cell>
        </row>
        <row r="61">
          <cell r="A61">
            <v>2292</v>
          </cell>
        </row>
        <row r="62">
          <cell r="A62">
            <v>2293</v>
          </cell>
        </row>
        <row r="63">
          <cell r="A63">
            <v>2294</v>
          </cell>
        </row>
        <row r="64">
          <cell r="A64">
            <v>241</v>
          </cell>
        </row>
        <row r="65">
          <cell r="A65">
            <v>2411</v>
          </cell>
        </row>
        <row r="66">
          <cell r="A66">
            <v>2412</v>
          </cell>
        </row>
        <row r="67">
          <cell r="A67">
            <v>2413</v>
          </cell>
        </row>
        <row r="68">
          <cell r="A68">
            <v>242</v>
          </cell>
        </row>
        <row r="69">
          <cell r="A69">
            <v>331</v>
          </cell>
        </row>
        <row r="70">
          <cell r="A70" t="str">
            <v>331NNT</v>
          </cell>
        </row>
        <row r="71">
          <cell r="A71" t="str">
            <v>331TQ</v>
          </cell>
        </row>
        <row r="72">
          <cell r="A72" t="str">
            <v>331LG</v>
          </cell>
        </row>
        <row r="73">
          <cell r="A73" t="str">
            <v>331NV</v>
          </cell>
        </row>
        <row r="74">
          <cell r="A74" t="str">
            <v>331JSC</v>
          </cell>
        </row>
        <row r="75">
          <cell r="A75" t="str">
            <v>331NC</v>
          </cell>
        </row>
        <row r="76">
          <cell r="A76" t="str">
            <v>331TA</v>
          </cell>
        </row>
        <row r="77">
          <cell r="A77" t="str">
            <v>331HM</v>
          </cell>
        </row>
        <row r="78">
          <cell r="A78" t="str">
            <v>331HN</v>
          </cell>
        </row>
        <row r="79">
          <cell r="A79" t="str">
            <v>331DHT</v>
          </cell>
        </row>
        <row r="80">
          <cell r="A80" t="str">
            <v>331LGE</v>
          </cell>
        </row>
        <row r="81">
          <cell r="A81">
            <v>333</v>
          </cell>
        </row>
        <row r="82">
          <cell r="A82">
            <v>3331</v>
          </cell>
        </row>
        <row r="83">
          <cell r="A83">
            <v>33311</v>
          </cell>
        </row>
        <row r="84">
          <cell r="A84">
            <v>33312</v>
          </cell>
        </row>
        <row r="85">
          <cell r="A85">
            <v>3332</v>
          </cell>
        </row>
        <row r="86">
          <cell r="A86">
            <v>3333</v>
          </cell>
        </row>
        <row r="87">
          <cell r="A87">
            <v>3334</v>
          </cell>
        </row>
        <row r="88">
          <cell r="A88">
            <v>3335</v>
          </cell>
        </row>
        <row r="89">
          <cell r="A89">
            <v>3336</v>
          </cell>
        </row>
        <row r="90">
          <cell r="A90">
            <v>3337</v>
          </cell>
        </row>
        <row r="91">
          <cell r="A91">
            <v>3338</v>
          </cell>
        </row>
        <row r="92">
          <cell r="A92">
            <v>33381</v>
          </cell>
        </row>
        <row r="93">
          <cell r="A93">
            <v>33382</v>
          </cell>
        </row>
        <row r="94">
          <cell r="A94">
            <v>3339</v>
          </cell>
        </row>
        <row r="95">
          <cell r="A95">
            <v>334</v>
          </cell>
        </row>
        <row r="96">
          <cell r="A96">
            <v>335</v>
          </cell>
        </row>
        <row r="97">
          <cell r="A97">
            <v>336</v>
          </cell>
        </row>
        <row r="98">
          <cell r="A98">
            <v>3361</v>
          </cell>
        </row>
        <row r="99">
          <cell r="A99">
            <v>3368</v>
          </cell>
        </row>
        <row r="100">
          <cell r="A100">
            <v>338</v>
          </cell>
        </row>
        <row r="101">
          <cell r="A101">
            <v>3381</v>
          </cell>
        </row>
        <row r="102">
          <cell r="A102">
            <v>3382</v>
          </cell>
        </row>
        <row r="103">
          <cell r="A103">
            <v>3383</v>
          </cell>
        </row>
        <row r="104">
          <cell r="A104">
            <v>3384</v>
          </cell>
        </row>
        <row r="105">
          <cell r="A105">
            <v>3385</v>
          </cell>
        </row>
        <row r="106">
          <cell r="A106">
            <v>3386</v>
          </cell>
        </row>
        <row r="107">
          <cell r="A107">
            <v>3387</v>
          </cell>
        </row>
        <row r="108">
          <cell r="A108">
            <v>3388</v>
          </cell>
        </row>
        <row r="109">
          <cell r="A109">
            <v>341</v>
          </cell>
        </row>
        <row r="110">
          <cell r="A110">
            <v>3411</v>
          </cell>
        </row>
        <row r="111">
          <cell r="A111">
            <v>3412</v>
          </cell>
        </row>
        <row r="112">
          <cell r="A112">
            <v>352</v>
          </cell>
        </row>
        <row r="113">
          <cell r="A113">
            <v>3521</v>
          </cell>
        </row>
        <row r="114">
          <cell r="A114">
            <v>3522</v>
          </cell>
        </row>
        <row r="115">
          <cell r="A115">
            <v>3524</v>
          </cell>
        </row>
        <row r="116">
          <cell r="A116">
            <v>353</v>
          </cell>
        </row>
        <row r="117">
          <cell r="A117">
            <v>3531</v>
          </cell>
        </row>
        <row r="118">
          <cell r="A118">
            <v>3532</v>
          </cell>
        </row>
        <row r="119">
          <cell r="A119">
            <v>3533</v>
          </cell>
        </row>
        <row r="120">
          <cell r="A120">
            <v>3534</v>
          </cell>
        </row>
        <row r="121">
          <cell r="A121">
            <v>356</v>
          </cell>
        </row>
        <row r="122">
          <cell r="A122">
            <v>3561</v>
          </cell>
        </row>
        <row r="123">
          <cell r="A123">
            <v>3562</v>
          </cell>
        </row>
        <row r="124">
          <cell r="A124">
            <v>411</v>
          </cell>
        </row>
        <row r="125">
          <cell r="A125">
            <v>4111</v>
          </cell>
        </row>
        <row r="126">
          <cell r="A126">
            <v>4112</v>
          </cell>
        </row>
        <row r="127">
          <cell r="A127">
            <v>4118</v>
          </cell>
        </row>
        <row r="128">
          <cell r="A128">
            <v>413</v>
          </cell>
        </row>
        <row r="129">
          <cell r="A129">
            <v>418</v>
          </cell>
        </row>
        <row r="130">
          <cell r="A130">
            <v>419</v>
          </cell>
        </row>
        <row r="131">
          <cell r="A131">
            <v>421</v>
          </cell>
        </row>
        <row r="132">
          <cell r="A132">
            <v>4211</v>
          </cell>
        </row>
        <row r="133">
          <cell r="A133">
            <v>4212</v>
          </cell>
        </row>
        <row r="134">
          <cell r="A134">
            <v>511</v>
          </cell>
        </row>
        <row r="135">
          <cell r="A135">
            <v>5111</v>
          </cell>
        </row>
        <row r="136">
          <cell r="A136">
            <v>5112</v>
          </cell>
        </row>
        <row r="137">
          <cell r="A137">
            <v>5113</v>
          </cell>
        </row>
        <row r="138">
          <cell r="A138">
            <v>5118</v>
          </cell>
        </row>
        <row r="139">
          <cell r="A139">
            <v>515</v>
          </cell>
        </row>
        <row r="140">
          <cell r="A140">
            <v>611</v>
          </cell>
        </row>
        <row r="141">
          <cell r="A141">
            <v>631</v>
          </cell>
        </row>
        <row r="142">
          <cell r="A142">
            <v>632</v>
          </cell>
        </row>
        <row r="143">
          <cell r="A143">
            <v>635</v>
          </cell>
        </row>
        <row r="144">
          <cell r="A144">
            <v>642</v>
          </cell>
        </row>
        <row r="145">
          <cell r="A145">
            <v>6421</v>
          </cell>
        </row>
        <row r="146">
          <cell r="A146">
            <v>6422</v>
          </cell>
        </row>
        <row r="147">
          <cell r="A147">
            <v>711</v>
          </cell>
        </row>
        <row r="148">
          <cell r="A148">
            <v>811</v>
          </cell>
        </row>
        <row r="149">
          <cell r="A149">
            <v>821</v>
          </cell>
        </row>
        <row r="150">
          <cell r="A150">
            <v>911</v>
          </cell>
        </row>
      </sheetData>
      <sheetData sheetId="2">
        <row r="7">
          <cell r="C7" t="str">
            <v>ĐH-P24-2C</v>
          </cell>
        </row>
        <row r="8">
          <cell r="C8" t="str">
            <v>ĐH-D24-2C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="115" zoomScaleNormal="89" zoomScaleSheetLayoutView="115" workbookViewId="0">
      <selection sqref="A1:H43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19" style="44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134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140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60">
        <v>1</v>
      </c>
      <c r="B11" s="79" t="s">
        <v>110</v>
      </c>
      <c r="C11" s="79" t="s">
        <v>110</v>
      </c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60">
        <v>2</v>
      </c>
      <c r="B12" s="79" t="s">
        <v>136</v>
      </c>
      <c r="C12" s="79"/>
      <c r="D12" s="79" t="s">
        <v>113</v>
      </c>
      <c r="E12" s="83" t="s">
        <v>105</v>
      </c>
      <c r="F12" s="79"/>
      <c r="G12" s="81"/>
      <c r="H12" s="78"/>
    </row>
    <row r="13" spans="1:9" s="50" customFormat="1" ht="31.5">
      <c r="A13" s="60">
        <v>3</v>
      </c>
      <c r="B13" s="79" t="s">
        <v>137</v>
      </c>
      <c r="C13" s="79"/>
      <c r="D13" s="79" t="s">
        <v>113</v>
      </c>
      <c r="E13" s="83" t="s">
        <v>105</v>
      </c>
      <c r="F13" s="79"/>
      <c r="G13" s="81"/>
      <c r="H13" s="78"/>
    </row>
    <row r="14" spans="1:9" s="50" customFormat="1" ht="16.5">
      <c r="A14" s="60">
        <v>4</v>
      </c>
      <c r="B14" s="79" t="s">
        <v>112</v>
      </c>
      <c r="C14" s="79"/>
      <c r="D14" s="79" t="s">
        <v>113</v>
      </c>
      <c r="E14" s="83">
        <v>1</v>
      </c>
      <c r="F14" s="79"/>
      <c r="G14" s="82"/>
      <c r="H14" s="78" t="s">
        <v>114</v>
      </c>
    </row>
    <row r="15" spans="1:9" s="50" customFormat="1" ht="31.5">
      <c r="A15" s="60">
        <v>5</v>
      </c>
      <c r="B15" s="79" t="s">
        <v>133</v>
      </c>
      <c r="C15" s="84"/>
      <c r="D15" s="79" t="s">
        <v>113</v>
      </c>
      <c r="E15" s="83">
        <v>1</v>
      </c>
      <c r="F15" s="79"/>
      <c r="G15" s="82"/>
      <c r="H15" s="78" t="s">
        <v>114</v>
      </c>
    </row>
    <row r="16" spans="1:9" s="54" customFormat="1" ht="31.5">
      <c r="A16" s="52"/>
      <c r="B16" s="49" t="s">
        <v>101</v>
      </c>
      <c r="C16" s="80"/>
      <c r="D16" s="52"/>
      <c r="E16" s="83">
        <f>AVERAGE(E11:E15)</f>
        <v>1</v>
      </c>
      <c r="F16" s="53"/>
      <c r="G16" s="70"/>
      <c r="H16" s="70"/>
    </row>
    <row r="17" spans="1:8" s="54" customFormat="1" ht="15.75">
      <c r="A17" s="55"/>
      <c r="B17" s="74"/>
      <c r="C17" s="74"/>
      <c r="D17" s="74"/>
      <c r="E17" s="75"/>
      <c r="F17" s="75"/>
      <c r="G17" s="76"/>
      <c r="H17" s="76"/>
    </row>
    <row r="18" spans="1:8" s="58" customFormat="1" ht="20.25" customHeight="1">
      <c r="A18" s="55" t="s">
        <v>75</v>
      </c>
      <c r="B18" s="56" t="s">
        <v>99</v>
      </c>
      <c r="E18" s="57"/>
      <c r="F18" s="57"/>
      <c r="G18" s="57"/>
      <c r="H18" s="57"/>
    </row>
    <row r="19" spans="1:8" ht="6.75" customHeight="1"/>
    <row r="20" spans="1:8" s="58" customFormat="1" ht="31.5">
      <c r="A20" s="59" t="s">
        <v>34</v>
      </c>
      <c r="B20" s="174" t="s">
        <v>71</v>
      </c>
      <c r="C20" s="174"/>
      <c r="D20" s="174"/>
      <c r="E20" s="59" t="s">
        <v>100</v>
      </c>
      <c r="F20" s="59" t="s">
        <v>102</v>
      </c>
      <c r="G20" s="59" t="s">
        <v>70</v>
      </c>
    </row>
    <row r="21" spans="1:8" s="61" customFormat="1" ht="33">
      <c r="A21" s="60">
        <v>1</v>
      </c>
      <c r="B21" s="175" t="s">
        <v>110</v>
      </c>
      <c r="C21" s="175"/>
      <c r="D21" s="175"/>
      <c r="E21" s="78" t="s">
        <v>135</v>
      </c>
      <c r="F21" s="87" t="s">
        <v>120</v>
      </c>
      <c r="G21" s="78" t="s">
        <v>114</v>
      </c>
    </row>
    <row r="22" spans="1:8" s="61" customFormat="1" ht="16.5">
      <c r="A22" s="60">
        <v>2</v>
      </c>
      <c r="B22" s="179" t="s">
        <v>138</v>
      </c>
      <c r="C22" s="179"/>
      <c r="D22" s="179"/>
      <c r="E22" s="78" t="s">
        <v>135</v>
      </c>
      <c r="F22" s="78"/>
      <c r="G22" s="78"/>
    </row>
    <row r="23" spans="1:8" s="61" customFormat="1" ht="16.5">
      <c r="A23" s="60">
        <v>3</v>
      </c>
      <c r="B23" s="181" t="s">
        <v>139</v>
      </c>
      <c r="C23" s="182"/>
      <c r="D23" s="183"/>
      <c r="E23" s="78" t="s">
        <v>135</v>
      </c>
      <c r="F23" s="78"/>
      <c r="G23" s="78"/>
    </row>
    <row r="24" spans="1:8" s="61" customFormat="1" ht="16.5">
      <c r="A24" s="60">
        <v>4</v>
      </c>
      <c r="B24" s="176" t="s">
        <v>112</v>
      </c>
      <c r="C24" s="177"/>
      <c r="D24" s="178"/>
      <c r="E24" s="78" t="s">
        <v>135</v>
      </c>
      <c r="F24" s="78"/>
      <c r="G24" s="78"/>
    </row>
    <row r="25" spans="1:8" s="61" customFormat="1" ht="16.5">
      <c r="A25" s="60">
        <v>5</v>
      </c>
      <c r="B25" s="180" t="s">
        <v>119</v>
      </c>
      <c r="C25" s="180"/>
      <c r="D25" s="180"/>
      <c r="E25" s="78" t="s">
        <v>135</v>
      </c>
      <c r="F25" s="78"/>
      <c r="G25" s="78"/>
    </row>
    <row r="26" spans="1:8" ht="17.25" customHeight="1">
      <c r="B26" s="77"/>
      <c r="C26" s="77"/>
      <c r="D26" s="77"/>
      <c r="E26" s="77"/>
      <c r="F26" s="77"/>
      <c r="H26" s="43"/>
    </row>
    <row r="27" spans="1:8" s="72" customFormat="1" ht="18.75" customHeight="1">
      <c r="A27" s="71"/>
      <c r="B27" s="71" t="s">
        <v>89</v>
      </c>
      <c r="C27" s="73" t="s">
        <v>90</v>
      </c>
      <c r="D27" s="173" t="s">
        <v>7</v>
      </c>
      <c r="E27" s="173"/>
      <c r="F27" s="173"/>
      <c r="G27" s="173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B29" s="68" t="s">
        <v>108</v>
      </c>
      <c r="E29" s="68"/>
      <c r="F29" s="68"/>
      <c r="G29" s="68"/>
      <c r="H29" s="68"/>
    </row>
    <row r="30" spans="1:8" s="61" customFormat="1" ht="16.5">
      <c r="A30" s="68"/>
      <c r="B30" s="68" t="s">
        <v>109</v>
      </c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 ht="16.5">
      <c r="A41" s="68"/>
      <c r="E41" s="68"/>
      <c r="F41" s="68"/>
      <c r="G41" s="68"/>
      <c r="H41" s="68"/>
    </row>
  </sheetData>
  <mergeCells count="8">
    <mergeCell ref="A1:H1"/>
    <mergeCell ref="D27:G27"/>
    <mergeCell ref="B20:D20"/>
    <mergeCell ref="B21:D21"/>
    <mergeCell ref="B24:D24"/>
    <mergeCell ref="B22:D22"/>
    <mergeCell ref="B25:D25"/>
    <mergeCell ref="B23:D23"/>
  </mergeCells>
  <phoneticPr fontId="26" type="noConversion"/>
  <pageMargins left="0.7" right="0.7" top="0.75" bottom="0.75" header="0.3" footer="0.3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topLeftCell="A4" zoomScale="115" zoomScaleNormal="89" zoomScaleSheetLayoutView="115" workbookViewId="0">
      <selection sqref="A1:H43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19" style="44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141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142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60">
        <v>1</v>
      </c>
      <c r="B11" s="79" t="s">
        <v>110</v>
      </c>
      <c r="C11" s="79"/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60">
        <v>2</v>
      </c>
      <c r="B12" s="79" t="s">
        <v>147</v>
      </c>
      <c r="C12" s="79"/>
      <c r="D12" s="79" t="s">
        <v>113</v>
      </c>
      <c r="E12" s="83">
        <v>0.1</v>
      </c>
      <c r="F12" s="79"/>
      <c r="G12" s="81"/>
      <c r="H12" s="78" t="s">
        <v>114</v>
      </c>
    </row>
    <row r="13" spans="1:9" s="50" customFormat="1" ht="32.25" customHeight="1">
      <c r="A13" s="60">
        <v>3</v>
      </c>
      <c r="B13" s="79" t="s">
        <v>148</v>
      </c>
      <c r="C13" s="79"/>
      <c r="D13" s="79" t="s">
        <v>113</v>
      </c>
      <c r="E13" s="83">
        <v>0.1</v>
      </c>
      <c r="F13" s="79"/>
      <c r="G13" s="81"/>
      <c r="H13" s="78" t="s">
        <v>114</v>
      </c>
    </row>
    <row r="14" spans="1:9" s="50" customFormat="1" ht="16.5">
      <c r="A14" s="60">
        <v>4</v>
      </c>
      <c r="B14" s="79" t="s">
        <v>145</v>
      </c>
      <c r="C14" s="79"/>
      <c r="D14" s="79" t="s">
        <v>113</v>
      </c>
      <c r="E14" s="83">
        <v>0.6</v>
      </c>
      <c r="F14" s="79"/>
      <c r="G14" s="81"/>
      <c r="H14" s="78" t="s">
        <v>114</v>
      </c>
    </row>
    <row r="15" spans="1:9" s="50" customFormat="1" ht="16.5">
      <c r="A15" s="60">
        <v>5</v>
      </c>
      <c r="B15" s="79" t="s">
        <v>112</v>
      </c>
      <c r="C15" s="79"/>
      <c r="D15" s="79" t="s">
        <v>146</v>
      </c>
      <c r="E15" s="83">
        <v>0</v>
      </c>
      <c r="F15" s="79"/>
      <c r="G15" s="82"/>
      <c r="H15" s="78" t="s">
        <v>114</v>
      </c>
    </row>
    <row r="16" spans="1:9" s="50" customFormat="1" ht="31.5">
      <c r="A16" s="60">
        <v>6</v>
      </c>
      <c r="B16" s="79" t="s">
        <v>143</v>
      </c>
      <c r="C16" s="84"/>
      <c r="D16" s="79" t="s">
        <v>113</v>
      </c>
      <c r="E16" s="83">
        <v>1</v>
      </c>
      <c r="F16" s="79"/>
      <c r="G16" s="82"/>
      <c r="H16" s="78" t="s">
        <v>114</v>
      </c>
    </row>
    <row r="17" spans="1:8" s="54" customFormat="1" ht="31.5">
      <c r="A17" s="52"/>
      <c r="B17" s="49" t="s">
        <v>101</v>
      </c>
      <c r="C17" s="80"/>
      <c r="D17" s="52"/>
      <c r="E17" s="83">
        <f>AVERAGE(E11:E16)</f>
        <v>0.36</v>
      </c>
      <c r="F17" s="53"/>
      <c r="G17" s="70"/>
      <c r="H17" s="70"/>
    </row>
    <row r="18" spans="1:8" s="54" customFormat="1" ht="15.75">
      <c r="A18" s="55"/>
      <c r="B18" s="74"/>
      <c r="C18" s="74"/>
      <c r="D18" s="74"/>
      <c r="E18" s="75"/>
      <c r="F18" s="75"/>
      <c r="G18" s="76"/>
      <c r="H18" s="76"/>
    </row>
    <row r="19" spans="1:8" s="58" customFormat="1" ht="20.25" customHeight="1">
      <c r="A19" s="55" t="s">
        <v>75</v>
      </c>
      <c r="B19" s="56" t="s">
        <v>99</v>
      </c>
      <c r="E19" s="57"/>
      <c r="F19" s="57"/>
      <c r="G19" s="57"/>
      <c r="H19" s="57"/>
    </row>
    <row r="20" spans="1:8" ht="6.75" customHeight="1"/>
    <row r="21" spans="1:8" s="58" customFormat="1" ht="31.5">
      <c r="A21" s="89" t="s">
        <v>34</v>
      </c>
      <c r="B21" s="174" t="s">
        <v>71</v>
      </c>
      <c r="C21" s="174"/>
      <c r="D21" s="174"/>
      <c r="E21" s="89" t="s">
        <v>100</v>
      </c>
      <c r="F21" s="89" t="s">
        <v>102</v>
      </c>
      <c r="G21" s="89" t="s">
        <v>70</v>
      </c>
    </row>
    <row r="22" spans="1:8" s="61" customFormat="1" ht="33">
      <c r="A22" s="60">
        <v>1</v>
      </c>
      <c r="B22" s="175" t="s">
        <v>110</v>
      </c>
      <c r="C22" s="175"/>
      <c r="D22" s="175"/>
      <c r="E22" s="78" t="s">
        <v>144</v>
      </c>
      <c r="F22" s="87" t="s">
        <v>120</v>
      </c>
      <c r="G22" s="78" t="s">
        <v>114</v>
      </c>
    </row>
    <row r="23" spans="1:8" s="61" customFormat="1" ht="16.5">
      <c r="A23" s="60">
        <v>2</v>
      </c>
      <c r="B23" s="179" t="s">
        <v>145</v>
      </c>
      <c r="C23" s="179"/>
      <c r="D23" s="179"/>
      <c r="E23" s="78" t="s">
        <v>144</v>
      </c>
      <c r="F23" s="78"/>
      <c r="G23" s="78"/>
    </row>
    <row r="24" spans="1:8" s="61" customFormat="1" ht="16.5">
      <c r="A24" s="60">
        <v>3</v>
      </c>
      <c r="B24" s="181" t="s">
        <v>139</v>
      </c>
      <c r="C24" s="182"/>
      <c r="D24" s="183"/>
      <c r="E24" s="78" t="s">
        <v>144</v>
      </c>
      <c r="F24" s="78"/>
      <c r="G24" s="78"/>
    </row>
    <row r="25" spans="1:8" s="61" customFormat="1" ht="16.5">
      <c r="A25" s="60">
        <v>4</v>
      </c>
      <c r="B25" s="176" t="s">
        <v>112</v>
      </c>
      <c r="C25" s="177"/>
      <c r="D25" s="178"/>
      <c r="E25" s="78" t="s">
        <v>144</v>
      </c>
      <c r="F25" s="78"/>
      <c r="G25" s="78"/>
    </row>
    <row r="26" spans="1:8" s="61" customFormat="1" ht="16.5">
      <c r="A26" s="60">
        <v>5</v>
      </c>
      <c r="B26" s="180" t="s">
        <v>125</v>
      </c>
      <c r="C26" s="180"/>
      <c r="D26" s="180"/>
      <c r="E26" s="78" t="s">
        <v>144</v>
      </c>
      <c r="F26" s="78"/>
      <c r="G26" s="78"/>
    </row>
    <row r="27" spans="1:8" ht="17.25" customHeight="1">
      <c r="B27" s="77"/>
      <c r="C27" s="77"/>
      <c r="D27" s="77"/>
      <c r="E27" s="77"/>
      <c r="F27" s="77"/>
      <c r="H27" s="43"/>
    </row>
    <row r="28" spans="1:8" s="72" customFormat="1" ht="18.75" customHeight="1">
      <c r="A28" s="71"/>
      <c r="B28" s="71" t="s">
        <v>89</v>
      </c>
      <c r="C28" s="73" t="s">
        <v>90</v>
      </c>
      <c r="D28" s="173" t="s">
        <v>7</v>
      </c>
      <c r="E28" s="173"/>
      <c r="F28" s="173"/>
      <c r="G28" s="173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B30" s="68" t="s">
        <v>108</v>
      </c>
      <c r="E30" s="68"/>
      <c r="F30" s="68"/>
      <c r="G30" s="68"/>
      <c r="H30" s="68"/>
    </row>
    <row r="31" spans="1:8" s="61" customFormat="1" ht="16.5">
      <c r="A31" s="68"/>
      <c r="B31" s="68" t="s">
        <v>109</v>
      </c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 ht="16.5">
      <c r="A41" s="68"/>
      <c r="E41" s="68"/>
      <c r="F41" s="68"/>
      <c r="G41" s="68"/>
      <c r="H41" s="68"/>
    </row>
    <row r="42" spans="1:8" s="61" customFormat="1" ht="16.5">
      <c r="A42" s="68"/>
      <c r="E42" s="68"/>
      <c r="F42" s="68"/>
      <c r="G42" s="68"/>
      <c r="H42" s="68"/>
    </row>
  </sheetData>
  <mergeCells count="8">
    <mergeCell ref="D28:G28"/>
    <mergeCell ref="B23:D23"/>
    <mergeCell ref="A1:H1"/>
    <mergeCell ref="B21:D21"/>
    <mergeCell ref="B22:D22"/>
    <mergeCell ref="B24:D24"/>
    <mergeCell ref="B25:D25"/>
    <mergeCell ref="B26:D26"/>
  </mergeCell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topLeftCell="A10" zoomScale="115" zoomScaleNormal="89" zoomScaleSheetLayoutView="115" workbookViewId="0">
      <selection activeCell="C16" sqref="C16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19" style="44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127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128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51">
        <v>1</v>
      </c>
      <c r="B11" s="79" t="s">
        <v>110</v>
      </c>
      <c r="C11" s="79" t="s">
        <v>110</v>
      </c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63">
      <c r="A12" s="51">
        <v>2</v>
      </c>
      <c r="B12" s="79" t="s">
        <v>117</v>
      </c>
      <c r="C12" s="79" t="s">
        <v>121</v>
      </c>
      <c r="D12" s="79" t="s">
        <v>113</v>
      </c>
      <c r="E12" s="83">
        <v>1</v>
      </c>
      <c r="F12" s="79"/>
      <c r="G12" s="81"/>
      <c r="H12" s="78" t="s">
        <v>114</v>
      </c>
    </row>
    <row r="13" spans="1:9" s="50" customFormat="1" ht="16.5">
      <c r="A13" s="51">
        <v>3</v>
      </c>
      <c r="B13" s="79" t="s">
        <v>112</v>
      </c>
      <c r="C13" s="79"/>
      <c r="D13" s="79" t="s">
        <v>113</v>
      </c>
      <c r="E13" s="83">
        <v>1</v>
      </c>
      <c r="F13" s="79"/>
      <c r="G13" s="82"/>
      <c r="H13" s="78" t="s">
        <v>114</v>
      </c>
    </row>
    <row r="14" spans="1:9" s="50" customFormat="1" ht="31.5">
      <c r="A14" s="51">
        <v>4</v>
      </c>
      <c r="B14" s="79" t="s">
        <v>129</v>
      </c>
      <c r="C14" s="84"/>
      <c r="D14" s="79" t="s">
        <v>113</v>
      </c>
      <c r="E14" s="83">
        <v>1</v>
      </c>
      <c r="F14" s="79"/>
      <c r="G14" s="82"/>
      <c r="H14" s="78" t="s">
        <v>114</v>
      </c>
    </row>
    <row r="15" spans="1:9" s="54" customFormat="1" ht="31.5">
      <c r="A15" s="52"/>
      <c r="B15" s="49" t="s">
        <v>101</v>
      </c>
      <c r="C15" s="80"/>
      <c r="D15" s="52"/>
      <c r="E15" s="83">
        <f>AVERAGE(E11:E14)</f>
        <v>1</v>
      </c>
      <c r="F15" s="53"/>
      <c r="G15" s="70"/>
      <c r="H15" s="70"/>
    </row>
    <row r="16" spans="1:9" s="54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8" customFormat="1" ht="20.25" customHeight="1">
      <c r="A17" s="55" t="s">
        <v>75</v>
      </c>
      <c r="B17" s="56" t="s">
        <v>99</v>
      </c>
      <c r="E17" s="57"/>
      <c r="F17" s="57"/>
      <c r="G17" s="57"/>
      <c r="H17" s="57"/>
    </row>
    <row r="18" spans="1:8" ht="6.75" customHeight="1"/>
    <row r="19" spans="1:8" s="58" customFormat="1" ht="31.5">
      <c r="A19" s="88" t="s">
        <v>34</v>
      </c>
      <c r="B19" s="174" t="s">
        <v>71</v>
      </c>
      <c r="C19" s="174"/>
      <c r="D19" s="174"/>
      <c r="E19" s="88" t="s">
        <v>100</v>
      </c>
      <c r="F19" s="88" t="s">
        <v>102</v>
      </c>
      <c r="G19" s="88" t="s">
        <v>70</v>
      </c>
    </row>
    <row r="20" spans="1:8" s="61" customFormat="1" ht="33">
      <c r="A20" s="60">
        <v>1</v>
      </c>
      <c r="B20" s="175" t="s">
        <v>110</v>
      </c>
      <c r="C20" s="175"/>
      <c r="D20" s="175"/>
      <c r="E20" s="78" t="s">
        <v>126</v>
      </c>
      <c r="F20" s="87" t="s">
        <v>120</v>
      </c>
      <c r="G20" s="78" t="s">
        <v>114</v>
      </c>
    </row>
    <row r="21" spans="1:8" s="61" customFormat="1" ht="16.5">
      <c r="A21" s="60">
        <v>2</v>
      </c>
      <c r="B21" s="179" t="s">
        <v>118</v>
      </c>
      <c r="C21" s="179"/>
      <c r="D21" s="179"/>
      <c r="E21" s="78" t="s">
        <v>126</v>
      </c>
      <c r="F21" s="78"/>
      <c r="G21" s="78"/>
    </row>
    <row r="22" spans="1:8" s="61" customFormat="1" ht="16.5">
      <c r="A22" s="60">
        <v>3</v>
      </c>
      <c r="B22" s="179" t="s">
        <v>123</v>
      </c>
      <c r="C22" s="179"/>
      <c r="D22" s="179"/>
      <c r="E22" s="78" t="s">
        <v>126</v>
      </c>
      <c r="F22" s="78"/>
      <c r="G22" s="78"/>
    </row>
    <row r="23" spans="1:8" s="61" customFormat="1" ht="16.5">
      <c r="A23" s="60">
        <v>4</v>
      </c>
      <c r="B23" s="179" t="s">
        <v>124</v>
      </c>
      <c r="C23" s="179"/>
      <c r="D23" s="179"/>
      <c r="E23" s="78" t="s">
        <v>126</v>
      </c>
      <c r="F23" s="78"/>
      <c r="G23" s="78"/>
    </row>
    <row r="24" spans="1:8" s="61" customFormat="1" ht="16.5">
      <c r="A24" s="60">
        <v>5</v>
      </c>
      <c r="B24" s="181" t="s">
        <v>122</v>
      </c>
      <c r="C24" s="182"/>
      <c r="D24" s="183"/>
      <c r="E24" s="78" t="s">
        <v>126</v>
      </c>
      <c r="F24" s="78"/>
      <c r="G24" s="78"/>
    </row>
    <row r="25" spans="1:8" s="61" customFormat="1" ht="16.5">
      <c r="A25" s="60">
        <v>6</v>
      </c>
      <c r="B25" s="175" t="s">
        <v>112</v>
      </c>
      <c r="C25" s="175"/>
      <c r="D25" s="175"/>
      <c r="E25" s="78" t="s">
        <v>126</v>
      </c>
      <c r="F25" s="78"/>
      <c r="G25" s="78"/>
    </row>
    <row r="26" spans="1:8" s="61" customFormat="1" ht="16.5">
      <c r="A26" s="60">
        <v>7</v>
      </c>
      <c r="B26" s="180" t="s">
        <v>125</v>
      </c>
      <c r="C26" s="180"/>
      <c r="D26" s="180"/>
      <c r="E26" s="78" t="s">
        <v>126</v>
      </c>
      <c r="F26" s="78"/>
      <c r="G26" s="78"/>
    </row>
    <row r="27" spans="1:8" ht="17.25" customHeight="1">
      <c r="B27" s="77"/>
      <c r="C27" s="77"/>
      <c r="D27" s="77"/>
      <c r="E27" s="77"/>
      <c r="F27" s="77"/>
      <c r="H27" s="43"/>
    </row>
    <row r="28" spans="1:8" s="72" customFormat="1" ht="18.75" customHeight="1">
      <c r="A28" s="71"/>
      <c r="B28" s="71" t="s">
        <v>89</v>
      </c>
      <c r="C28" s="73" t="s">
        <v>90</v>
      </c>
      <c r="D28" s="173" t="s">
        <v>7</v>
      </c>
      <c r="E28" s="173"/>
      <c r="F28" s="173"/>
      <c r="G28" s="173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B30" s="68" t="s">
        <v>108</v>
      </c>
      <c r="E30" s="68"/>
      <c r="F30" s="68"/>
      <c r="G30" s="68"/>
      <c r="H30" s="68"/>
    </row>
    <row r="31" spans="1:8" s="61" customFormat="1" ht="16.5">
      <c r="A31" s="68"/>
      <c r="B31" s="68" t="s">
        <v>109</v>
      </c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 ht="16.5">
      <c r="A41" s="68"/>
      <c r="E41" s="68"/>
      <c r="F41" s="68"/>
      <c r="G41" s="68"/>
      <c r="H41" s="68"/>
    </row>
    <row r="42" spans="1:8" s="61" customFormat="1" ht="16.5">
      <c r="A42" s="68"/>
      <c r="E42" s="68"/>
      <c r="F42" s="68"/>
      <c r="G42" s="68"/>
      <c r="H42" s="68"/>
    </row>
  </sheetData>
  <mergeCells count="10">
    <mergeCell ref="B26:D26"/>
    <mergeCell ref="D28:G28"/>
    <mergeCell ref="B22:D22"/>
    <mergeCell ref="B23:D23"/>
    <mergeCell ref="A1:H1"/>
    <mergeCell ref="B19:D19"/>
    <mergeCell ref="B20:D20"/>
    <mergeCell ref="B21:D21"/>
    <mergeCell ref="B24:D24"/>
    <mergeCell ref="B25:D25"/>
  </mergeCells>
  <pageMargins left="0.7" right="0.7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zoomScale="89" zoomScaleNormal="89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3" style="44" customWidth="1"/>
    <col min="8" max="16384" width="15.140625" style="43"/>
  </cols>
  <sheetData>
    <row r="1" spans="1:9" ht="44.25" customHeight="1">
      <c r="A1" s="172" t="s">
        <v>131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103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130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115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49.5">
      <c r="A11" s="49">
        <v>2</v>
      </c>
      <c r="B11" s="79" t="s">
        <v>116</v>
      </c>
      <c r="C11" s="85" t="s">
        <v>121</v>
      </c>
      <c r="D11" s="79" t="s">
        <v>113</v>
      </c>
      <c r="E11" s="83">
        <v>1</v>
      </c>
      <c r="F11" s="81"/>
      <c r="G11" s="78" t="s">
        <v>114</v>
      </c>
    </row>
    <row r="12" spans="1:9" s="50" customFormat="1" ht="16.5">
      <c r="A12" s="51">
        <v>3</v>
      </c>
      <c r="B12" s="85" t="s">
        <v>112</v>
      </c>
      <c r="C12" s="85"/>
      <c r="D12" s="79" t="s">
        <v>113</v>
      </c>
      <c r="E12" s="83">
        <v>1</v>
      </c>
      <c r="F12" s="81"/>
      <c r="G12" s="78" t="s">
        <v>114</v>
      </c>
    </row>
    <row r="13" spans="1:9" s="50" customFormat="1" ht="33">
      <c r="A13" s="51">
        <v>4</v>
      </c>
      <c r="B13" s="86" t="s">
        <v>132</v>
      </c>
      <c r="C13" s="86"/>
      <c r="D13" s="79"/>
      <c r="E13" s="83"/>
      <c r="F13" s="81"/>
      <c r="G13" s="78"/>
    </row>
    <row r="14" spans="1:9" s="54" customFormat="1" ht="15.75">
      <c r="A14" s="52"/>
      <c r="B14" s="49" t="s">
        <v>74</v>
      </c>
      <c r="C14" s="52"/>
      <c r="D14" s="52"/>
      <c r="E14" s="53">
        <f>AVERAGE(E11:E11)</f>
        <v>1</v>
      </c>
      <c r="F14" s="53"/>
      <c r="G14" s="70"/>
    </row>
    <row r="15" spans="1:9" s="54" customFormat="1" ht="15.75">
      <c r="A15" s="55"/>
      <c r="B15" s="74"/>
      <c r="C15" s="74"/>
      <c r="D15" s="74"/>
      <c r="E15" s="75"/>
      <c r="F15" s="75"/>
      <c r="G15" s="76"/>
    </row>
    <row r="16" spans="1:9" s="58" customFormat="1" ht="15.75">
      <c r="A16" s="55" t="s">
        <v>75</v>
      </c>
      <c r="B16" s="56" t="s">
        <v>76</v>
      </c>
      <c r="E16" s="57"/>
      <c r="F16" s="57"/>
      <c r="G16" s="57"/>
    </row>
    <row r="18" spans="1:7" s="58" customFormat="1" ht="47.25">
      <c r="A18" s="59" t="s">
        <v>6</v>
      </c>
      <c r="B18" s="174" t="s">
        <v>71</v>
      </c>
      <c r="C18" s="174"/>
      <c r="D18" s="174"/>
      <c r="E18" s="59" t="s">
        <v>92</v>
      </c>
      <c r="F18" s="59" t="s">
        <v>87</v>
      </c>
      <c r="G18" s="59" t="s">
        <v>70</v>
      </c>
    </row>
    <row r="19" spans="1:7" s="61" customFormat="1" ht="16.5">
      <c r="A19" s="60">
        <v>1</v>
      </c>
      <c r="B19" s="187" t="s">
        <v>77</v>
      </c>
      <c r="C19" s="188"/>
      <c r="D19" s="189"/>
      <c r="E19" s="60">
        <v>9</v>
      </c>
      <c r="F19" s="60"/>
      <c r="G19" s="60"/>
    </row>
    <row r="20" spans="1:7" s="61" customFormat="1" ht="16.5">
      <c r="A20" s="60">
        <v>2</v>
      </c>
      <c r="B20" s="187" t="s">
        <v>78</v>
      </c>
      <c r="C20" s="188"/>
      <c r="D20" s="189"/>
      <c r="E20" s="60">
        <v>9</v>
      </c>
      <c r="F20" s="60"/>
      <c r="G20" s="60"/>
    </row>
    <row r="21" spans="1:7" s="61" customFormat="1" ht="16.5">
      <c r="A21" s="60">
        <v>3</v>
      </c>
      <c r="B21" s="62" t="s">
        <v>79</v>
      </c>
      <c r="C21" s="63"/>
      <c r="D21" s="64"/>
      <c r="E21" s="60">
        <v>6</v>
      </c>
      <c r="F21" s="60"/>
      <c r="G21" s="60"/>
    </row>
    <row r="22" spans="1:7" s="61" customFormat="1" ht="16.5">
      <c r="A22" s="60">
        <v>4</v>
      </c>
      <c r="B22" s="62" t="s">
        <v>80</v>
      </c>
      <c r="C22" s="63"/>
      <c r="D22" s="64"/>
      <c r="E22" s="60">
        <v>9</v>
      </c>
      <c r="F22" s="60"/>
      <c r="G22" s="60"/>
    </row>
    <row r="23" spans="1:7" s="61" customFormat="1" ht="16.5">
      <c r="A23" s="60">
        <v>5</v>
      </c>
      <c r="B23" s="187" t="s">
        <v>81</v>
      </c>
      <c r="C23" s="188"/>
      <c r="D23" s="189"/>
      <c r="E23" s="60">
        <v>9</v>
      </c>
      <c r="F23" s="60"/>
      <c r="G23" s="60"/>
    </row>
    <row r="24" spans="1:7">
      <c r="A24" s="65"/>
      <c r="B24" s="184" t="s">
        <v>74</v>
      </c>
      <c r="C24" s="185"/>
      <c r="D24" s="186"/>
      <c r="E24" s="66"/>
      <c r="F24" s="66"/>
      <c r="G24" s="65"/>
    </row>
    <row r="25" spans="1:7" ht="17.25" customHeight="1">
      <c r="B25" s="77"/>
      <c r="C25" s="77"/>
      <c r="D25" s="77"/>
      <c r="E25" s="77"/>
      <c r="F25" s="77"/>
    </row>
    <row r="26" spans="1:7" s="61" customFormat="1" ht="16.5">
      <c r="A26" s="67" t="s">
        <v>85</v>
      </c>
      <c r="E26" s="68"/>
      <c r="F26" s="68"/>
      <c r="G26" s="68"/>
    </row>
    <row r="27" spans="1:7" s="61" customFormat="1" ht="16.5">
      <c r="A27" s="69" t="s">
        <v>82</v>
      </c>
      <c r="E27" s="68"/>
      <c r="F27" s="68"/>
      <c r="G27" s="68"/>
    </row>
    <row r="28" spans="1:7" s="61" customFormat="1" ht="16.5">
      <c r="A28" s="69" t="s">
        <v>83</v>
      </c>
      <c r="E28" s="68"/>
      <c r="F28" s="68"/>
      <c r="G28" s="68"/>
    </row>
    <row r="29" spans="1:7" s="61" customFormat="1" ht="16.5">
      <c r="A29" s="69" t="s">
        <v>83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/>
      <c r="E31" s="68"/>
      <c r="F31" s="68"/>
      <c r="G31" s="68"/>
    </row>
    <row r="32" spans="1:7" s="61" customFormat="1" ht="16.5">
      <c r="A32" s="67" t="s">
        <v>86</v>
      </c>
      <c r="E32" s="68"/>
      <c r="F32" s="68"/>
      <c r="G32" s="68"/>
    </row>
    <row r="33" spans="1:7" s="61" customFormat="1" ht="16.5">
      <c r="A33" s="69" t="s">
        <v>82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E37" s="68"/>
      <c r="F37" s="68"/>
      <c r="G37" s="68"/>
    </row>
    <row r="38" spans="1:7" s="72" customFormat="1" ht="18.75" customHeight="1">
      <c r="A38" s="71"/>
      <c r="B38" s="71" t="s">
        <v>89</v>
      </c>
      <c r="C38" s="73" t="s">
        <v>90</v>
      </c>
      <c r="D38" s="173" t="s">
        <v>7</v>
      </c>
      <c r="E38" s="173"/>
      <c r="F38" s="173"/>
      <c r="G38" s="173"/>
    </row>
    <row r="39" spans="1:7" s="61" customFormat="1" ht="16.5">
      <c r="A39" s="68"/>
      <c r="B39" s="68" t="s">
        <v>108</v>
      </c>
      <c r="E39" s="68"/>
      <c r="F39" s="68"/>
      <c r="G39" s="68"/>
    </row>
    <row r="40" spans="1:7" s="61" customFormat="1" ht="16.5">
      <c r="A40" s="68"/>
      <c r="B40" s="68" t="s">
        <v>109</v>
      </c>
      <c r="E40" s="68"/>
      <c r="F40" s="68"/>
      <c r="G40" s="68"/>
    </row>
    <row r="41" spans="1:7" s="61" customFormat="1" ht="16.5">
      <c r="A41" s="68"/>
      <c r="E41" s="68"/>
      <c r="F41" s="68"/>
      <c r="G41" s="68"/>
    </row>
    <row r="42" spans="1:7" s="61" customFormat="1" ht="16.5">
      <c r="A42" s="68"/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</sheetData>
  <mergeCells count="7">
    <mergeCell ref="B24:D24"/>
    <mergeCell ref="D38:G38"/>
    <mergeCell ref="A1:G1"/>
    <mergeCell ref="B18:D18"/>
    <mergeCell ref="B19:D19"/>
    <mergeCell ref="B20:D20"/>
    <mergeCell ref="B23:D23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view="pageBreakPreview" zoomScale="115" zoomScaleNormal="89" zoomScaleSheetLayoutView="115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19" style="44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149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150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51">
        <v>1</v>
      </c>
      <c r="B11" s="79" t="s">
        <v>110</v>
      </c>
      <c r="C11" s="79" t="s">
        <v>110</v>
      </c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151</v>
      </c>
      <c r="C12" s="79" t="s">
        <v>152</v>
      </c>
      <c r="D12" s="79" t="s">
        <v>113</v>
      </c>
      <c r="E12" s="83">
        <v>1</v>
      </c>
      <c r="F12" s="79"/>
      <c r="G12" s="81"/>
      <c r="H12" s="78" t="s">
        <v>114</v>
      </c>
    </row>
    <row r="13" spans="1:9" s="50" customFormat="1" ht="16.5">
      <c r="A13" s="51">
        <v>3</v>
      </c>
      <c r="B13" s="79" t="s">
        <v>153</v>
      </c>
      <c r="C13" s="79" t="s">
        <v>154</v>
      </c>
      <c r="D13" s="79" t="s">
        <v>113</v>
      </c>
      <c r="E13" s="83">
        <v>1</v>
      </c>
      <c r="F13" s="79"/>
      <c r="G13" s="81"/>
      <c r="H13" s="78" t="s">
        <v>114</v>
      </c>
    </row>
    <row r="14" spans="1:9" s="50" customFormat="1" ht="16.5">
      <c r="A14" s="51">
        <v>4</v>
      </c>
      <c r="B14" s="79" t="s">
        <v>145</v>
      </c>
      <c r="C14" s="79"/>
      <c r="D14" s="79" t="s">
        <v>159</v>
      </c>
      <c r="E14" s="83">
        <v>0.9</v>
      </c>
      <c r="F14" s="79"/>
      <c r="G14" s="81"/>
      <c r="H14" s="78" t="s">
        <v>114</v>
      </c>
    </row>
    <row r="15" spans="1:9" s="50" customFormat="1" ht="31.5">
      <c r="A15" s="51">
        <v>5</v>
      </c>
      <c r="B15" s="79" t="s">
        <v>161</v>
      </c>
      <c r="C15" s="79" t="s">
        <v>162</v>
      </c>
      <c r="D15" s="79" t="s">
        <v>113</v>
      </c>
      <c r="E15" s="83">
        <v>1</v>
      </c>
      <c r="F15" s="79"/>
      <c r="G15" s="81"/>
      <c r="H15" s="78" t="s">
        <v>114</v>
      </c>
    </row>
    <row r="16" spans="1:9" s="50" customFormat="1" ht="16.5">
      <c r="A16" s="51">
        <v>6</v>
      </c>
      <c r="B16" s="79" t="s">
        <v>112</v>
      </c>
      <c r="C16" s="79"/>
      <c r="D16" s="79" t="s">
        <v>146</v>
      </c>
      <c r="E16" s="83">
        <v>0</v>
      </c>
      <c r="F16" s="79"/>
      <c r="G16" s="82"/>
      <c r="H16" s="78" t="s">
        <v>114</v>
      </c>
    </row>
    <row r="17" spans="1:8" s="50" customFormat="1" ht="31.5">
      <c r="A17" s="51">
        <v>7</v>
      </c>
      <c r="B17" s="79" t="s">
        <v>155</v>
      </c>
      <c r="C17" s="84"/>
      <c r="D17" s="79" t="s">
        <v>113</v>
      </c>
      <c r="E17" s="83">
        <v>1</v>
      </c>
      <c r="F17" s="79"/>
      <c r="G17" s="82"/>
      <c r="H17" s="78" t="s">
        <v>114</v>
      </c>
    </row>
    <row r="18" spans="1:8" s="54" customFormat="1" ht="31.5">
      <c r="A18" s="52"/>
      <c r="B18" s="49" t="s">
        <v>101</v>
      </c>
      <c r="C18" s="80"/>
      <c r="D18" s="52"/>
      <c r="E18" s="83">
        <f>AVERAGE(E11:E17)</f>
        <v>0.81666666666666676</v>
      </c>
      <c r="F18" s="53"/>
      <c r="G18" s="70"/>
      <c r="H18" s="70"/>
    </row>
    <row r="19" spans="1:8" s="54" customFormat="1" ht="15.75">
      <c r="A19" s="55"/>
      <c r="B19" s="74"/>
      <c r="C19" s="74"/>
      <c r="D19" s="74"/>
      <c r="E19" s="75"/>
      <c r="F19" s="75"/>
      <c r="G19" s="76"/>
      <c r="H19" s="76"/>
    </row>
    <row r="20" spans="1:8" s="58" customFormat="1" ht="20.25" customHeight="1">
      <c r="A20" s="55" t="s">
        <v>75</v>
      </c>
      <c r="B20" s="56" t="s">
        <v>99</v>
      </c>
      <c r="E20" s="57"/>
      <c r="F20" s="57"/>
      <c r="G20" s="57"/>
      <c r="H20" s="57"/>
    </row>
    <row r="21" spans="1:8" ht="6.75" customHeight="1"/>
    <row r="22" spans="1:8" s="58" customFormat="1" ht="31.5">
      <c r="A22" s="90" t="s">
        <v>34</v>
      </c>
      <c r="B22" s="174" t="s">
        <v>71</v>
      </c>
      <c r="C22" s="174"/>
      <c r="D22" s="174"/>
      <c r="E22" s="90" t="s">
        <v>100</v>
      </c>
      <c r="F22" s="90" t="s">
        <v>102</v>
      </c>
      <c r="G22" s="90" t="s">
        <v>70</v>
      </c>
    </row>
    <row r="23" spans="1:8" s="61" customFormat="1" ht="16.5">
      <c r="A23" s="60">
        <v>1</v>
      </c>
      <c r="B23" s="175" t="s">
        <v>110</v>
      </c>
      <c r="C23" s="175"/>
      <c r="D23" s="175"/>
      <c r="E23" s="78" t="s">
        <v>156</v>
      </c>
      <c r="F23" s="87" t="s">
        <v>157</v>
      </c>
      <c r="G23" s="78" t="s">
        <v>114</v>
      </c>
    </row>
    <row r="24" spans="1:8" s="61" customFormat="1" ht="16.5">
      <c r="A24" s="60">
        <v>2</v>
      </c>
      <c r="B24" s="179" t="s">
        <v>160</v>
      </c>
      <c r="C24" s="179"/>
      <c r="D24" s="179"/>
      <c r="E24" s="78" t="s">
        <v>156</v>
      </c>
      <c r="F24" s="78"/>
      <c r="G24" s="78"/>
    </row>
    <row r="25" spans="1:8" s="61" customFormat="1" ht="16.5">
      <c r="A25" s="60">
        <v>3</v>
      </c>
      <c r="B25" s="179" t="s">
        <v>163</v>
      </c>
      <c r="C25" s="179"/>
      <c r="D25" s="179"/>
      <c r="E25" s="78" t="s">
        <v>156</v>
      </c>
      <c r="F25" s="78"/>
      <c r="G25" s="78"/>
    </row>
    <row r="26" spans="1:8" s="61" customFormat="1" ht="16.5">
      <c r="A26" s="60">
        <v>4</v>
      </c>
      <c r="B26" s="179" t="s">
        <v>164</v>
      </c>
      <c r="C26" s="179"/>
      <c r="D26" s="179"/>
      <c r="E26" s="78" t="s">
        <v>156</v>
      </c>
      <c r="F26" s="78"/>
      <c r="G26" s="78"/>
    </row>
    <row r="27" spans="1:8" s="61" customFormat="1" ht="16.5">
      <c r="A27" s="60">
        <v>5</v>
      </c>
      <c r="B27" s="175" t="s">
        <v>112</v>
      </c>
      <c r="C27" s="175"/>
      <c r="D27" s="175"/>
      <c r="E27" s="78" t="s">
        <v>156</v>
      </c>
      <c r="F27" s="78"/>
      <c r="G27" s="78"/>
    </row>
    <row r="28" spans="1:8" s="61" customFormat="1" ht="16.5">
      <c r="A28" s="60">
        <v>6</v>
      </c>
      <c r="B28" s="180" t="s">
        <v>158</v>
      </c>
      <c r="C28" s="180"/>
      <c r="D28" s="180"/>
      <c r="E28" s="78" t="s">
        <v>156</v>
      </c>
      <c r="F28" s="78"/>
      <c r="G28" s="78"/>
    </row>
    <row r="29" spans="1:8" ht="17.25" customHeight="1">
      <c r="B29" s="77"/>
      <c r="C29" s="77"/>
      <c r="D29" s="77"/>
      <c r="E29" s="77"/>
      <c r="F29" s="77"/>
      <c r="H29" s="43"/>
    </row>
    <row r="30" spans="1:8" s="72" customFormat="1" ht="18.75" customHeight="1">
      <c r="A30" s="71"/>
      <c r="B30" s="71" t="s">
        <v>89</v>
      </c>
      <c r="C30" s="73" t="s">
        <v>90</v>
      </c>
      <c r="D30" s="173" t="s">
        <v>7</v>
      </c>
      <c r="E30" s="173"/>
      <c r="F30" s="173"/>
      <c r="G30" s="173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B32" s="68" t="s">
        <v>108</v>
      </c>
      <c r="E32" s="68"/>
      <c r="F32" s="68"/>
      <c r="G32" s="68"/>
      <c r="H32" s="68"/>
    </row>
    <row r="33" spans="1:8" s="61" customFormat="1" ht="16.5">
      <c r="A33" s="68"/>
      <c r="B33" s="68" t="s">
        <v>109</v>
      </c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 ht="16.5">
      <c r="A41" s="68"/>
      <c r="E41" s="68"/>
      <c r="F41" s="68"/>
      <c r="G41" s="68"/>
      <c r="H41" s="68"/>
    </row>
    <row r="42" spans="1:8" s="61" customFormat="1" ht="16.5">
      <c r="A42" s="68"/>
      <c r="E42" s="68"/>
      <c r="F42" s="68"/>
      <c r="G42" s="68"/>
      <c r="H42" s="68"/>
    </row>
    <row r="43" spans="1:8" s="61" customFormat="1" ht="16.5">
      <c r="A43" s="68"/>
      <c r="E43" s="68"/>
      <c r="F43" s="68"/>
      <c r="G43" s="68"/>
      <c r="H43" s="68"/>
    </row>
    <row r="44" spans="1:8" s="61" customFormat="1" ht="16.5">
      <c r="A44" s="68"/>
      <c r="E44" s="68"/>
      <c r="F44" s="68"/>
      <c r="G44" s="68"/>
      <c r="H44" s="68"/>
    </row>
  </sheetData>
  <mergeCells count="9">
    <mergeCell ref="B27:D27"/>
    <mergeCell ref="B28:D28"/>
    <mergeCell ref="D30:G30"/>
    <mergeCell ref="A1:H1"/>
    <mergeCell ref="B22:D22"/>
    <mergeCell ref="B23:D23"/>
    <mergeCell ref="B24:D24"/>
    <mergeCell ref="B25:D25"/>
    <mergeCell ref="B26:D26"/>
  </mergeCells>
  <pageMargins left="0.7" right="0.7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zoomScale="115" zoomScaleNormal="89" zoomScaleSheetLayoutView="115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19" style="44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165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166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51">
        <v>1</v>
      </c>
      <c r="B11" s="79" t="s">
        <v>110</v>
      </c>
      <c r="C11" s="79" t="s">
        <v>110</v>
      </c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167</v>
      </c>
      <c r="C12" s="79" t="s">
        <v>168</v>
      </c>
      <c r="D12" s="79" t="s">
        <v>113</v>
      </c>
      <c r="E12" s="83">
        <v>1</v>
      </c>
      <c r="F12" s="79"/>
      <c r="G12" s="81"/>
      <c r="H12" s="78" t="s">
        <v>114</v>
      </c>
    </row>
    <row r="13" spans="1:9" s="50" customFormat="1" ht="16.5">
      <c r="A13" s="51">
        <v>3</v>
      </c>
      <c r="B13" s="79" t="s">
        <v>145</v>
      </c>
      <c r="C13" s="79"/>
      <c r="D13" s="79" t="s">
        <v>159</v>
      </c>
      <c r="E13" s="83">
        <v>0.9</v>
      </c>
      <c r="F13" s="79"/>
      <c r="G13" s="81"/>
      <c r="H13" s="78" t="s">
        <v>114</v>
      </c>
    </row>
    <row r="14" spans="1:9" s="50" customFormat="1" ht="16.5">
      <c r="A14" s="51">
        <v>4</v>
      </c>
      <c r="B14" s="79" t="s">
        <v>170</v>
      </c>
      <c r="C14" s="79" t="s">
        <v>171</v>
      </c>
      <c r="D14" s="79" t="s">
        <v>172</v>
      </c>
      <c r="E14" s="83">
        <v>0.9</v>
      </c>
      <c r="F14" s="79"/>
      <c r="G14" s="81"/>
      <c r="H14" s="78"/>
    </row>
    <row r="15" spans="1:9" s="50" customFormat="1" ht="16.5">
      <c r="A15" s="51">
        <v>5</v>
      </c>
      <c r="B15" s="79" t="s">
        <v>112</v>
      </c>
      <c r="C15" s="79"/>
      <c r="D15" s="79" t="s">
        <v>146</v>
      </c>
      <c r="E15" s="83">
        <v>0</v>
      </c>
      <c r="F15" s="79"/>
      <c r="G15" s="82"/>
      <c r="H15" s="78" t="s">
        <v>114</v>
      </c>
    </row>
    <row r="16" spans="1:9" s="50" customFormat="1" ht="31.5">
      <c r="A16" s="51">
        <v>6</v>
      </c>
      <c r="B16" s="79" t="s">
        <v>169</v>
      </c>
      <c r="C16" s="84"/>
      <c r="D16" s="79" t="s">
        <v>113</v>
      </c>
      <c r="E16" s="83">
        <v>1</v>
      </c>
      <c r="F16" s="79"/>
      <c r="G16" s="82"/>
      <c r="H16" s="78" t="s">
        <v>114</v>
      </c>
    </row>
    <row r="17" spans="1:8" s="54" customFormat="1" ht="31.5">
      <c r="A17" s="52"/>
      <c r="B17" s="49" t="s">
        <v>101</v>
      </c>
      <c r="C17" s="80"/>
      <c r="D17" s="52"/>
      <c r="E17" s="83">
        <f>AVERAGE(E11:E16)</f>
        <v>0.76</v>
      </c>
      <c r="F17" s="53"/>
      <c r="G17" s="70"/>
      <c r="H17" s="70"/>
    </row>
    <row r="18" spans="1:8" s="54" customFormat="1" ht="15.75">
      <c r="A18" s="55"/>
      <c r="B18" s="74"/>
      <c r="C18" s="74"/>
      <c r="D18" s="74"/>
      <c r="E18" s="75"/>
      <c r="F18" s="75"/>
      <c r="G18" s="76"/>
      <c r="H18" s="76"/>
    </row>
    <row r="19" spans="1:8" s="58" customFormat="1" ht="20.25" customHeight="1">
      <c r="A19" s="55" t="s">
        <v>75</v>
      </c>
      <c r="B19" s="56" t="s">
        <v>99</v>
      </c>
      <c r="E19" s="57"/>
      <c r="F19" s="57"/>
      <c r="G19" s="57"/>
      <c r="H19" s="57"/>
    </row>
    <row r="20" spans="1:8" ht="6.75" customHeight="1"/>
    <row r="21" spans="1:8" s="58" customFormat="1" ht="31.5">
      <c r="A21" s="91" t="s">
        <v>34</v>
      </c>
      <c r="B21" s="174" t="s">
        <v>71</v>
      </c>
      <c r="C21" s="174"/>
      <c r="D21" s="174"/>
      <c r="E21" s="91" t="s">
        <v>100</v>
      </c>
      <c r="F21" s="91" t="s">
        <v>102</v>
      </c>
      <c r="G21" s="91" t="s">
        <v>70</v>
      </c>
    </row>
    <row r="22" spans="1:8" s="61" customFormat="1" ht="16.5">
      <c r="A22" s="60">
        <v>1</v>
      </c>
      <c r="B22" s="179" t="s">
        <v>175</v>
      </c>
      <c r="C22" s="179"/>
      <c r="D22" s="179"/>
      <c r="E22" s="78" t="s">
        <v>173</v>
      </c>
      <c r="F22" s="78"/>
      <c r="G22" s="78"/>
    </row>
    <row r="23" spans="1:8" s="61" customFormat="1" ht="16.5">
      <c r="A23" s="60">
        <v>2</v>
      </c>
      <c r="B23" s="179" t="s">
        <v>163</v>
      </c>
      <c r="C23" s="179"/>
      <c r="D23" s="179"/>
      <c r="E23" s="78" t="s">
        <v>173</v>
      </c>
      <c r="F23" s="78"/>
      <c r="G23" s="78"/>
    </row>
    <row r="24" spans="1:8" s="61" customFormat="1" ht="16.5">
      <c r="A24" s="60">
        <v>3</v>
      </c>
      <c r="B24" s="179" t="s">
        <v>176</v>
      </c>
      <c r="C24" s="179"/>
      <c r="D24" s="179"/>
      <c r="E24" s="78" t="s">
        <v>173</v>
      </c>
      <c r="F24" s="78"/>
      <c r="G24" s="78"/>
    </row>
    <row r="25" spans="1:8" s="61" customFormat="1" ht="16.5">
      <c r="A25" s="60">
        <v>4</v>
      </c>
      <c r="B25" s="175" t="s">
        <v>112</v>
      </c>
      <c r="C25" s="175"/>
      <c r="D25" s="175"/>
      <c r="E25" s="78" t="s">
        <v>173</v>
      </c>
      <c r="F25" s="78"/>
      <c r="G25" s="78"/>
    </row>
    <row r="26" spans="1:8" s="61" customFormat="1" ht="16.5">
      <c r="A26" s="60">
        <v>5</v>
      </c>
      <c r="B26" s="180" t="s">
        <v>174</v>
      </c>
      <c r="C26" s="180"/>
      <c r="D26" s="180"/>
      <c r="E26" s="78" t="s">
        <v>173</v>
      </c>
      <c r="F26" s="78"/>
      <c r="G26" s="78"/>
    </row>
    <row r="27" spans="1:8" ht="17.25" customHeight="1">
      <c r="B27" s="77"/>
      <c r="C27" s="77"/>
      <c r="D27" s="77"/>
      <c r="E27" s="77"/>
      <c r="F27" s="77"/>
      <c r="H27" s="43"/>
    </row>
    <row r="28" spans="1:8" s="72" customFormat="1" ht="18.75" customHeight="1">
      <c r="A28" s="71"/>
      <c r="B28" s="71" t="s">
        <v>89</v>
      </c>
      <c r="C28" s="73" t="s">
        <v>90</v>
      </c>
      <c r="D28" s="173" t="s">
        <v>7</v>
      </c>
      <c r="E28" s="173"/>
      <c r="F28" s="173"/>
      <c r="G28" s="173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B30" s="68" t="s">
        <v>108</v>
      </c>
      <c r="E30" s="68"/>
      <c r="F30" s="68"/>
      <c r="G30" s="68"/>
      <c r="H30" s="68"/>
    </row>
    <row r="31" spans="1:8" s="61" customFormat="1" ht="16.5">
      <c r="A31" s="68"/>
      <c r="B31" s="68" t="s">
        <v>109</v>
      </c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 ht="16.5">
      <c r="A41" s="68"/>
      <c r="E41" s="68"/>
      <c r="F41" s="68"/>
      <c r="G41" s="68"/>
      <c r="H41" s="68"/>
    </row>
    <row r="42" spans="1:8" s="61" customFormat="1" ht="16.5">
      <c r="A42" s="68"/>
      <c r="E42" s="68"/>
      <c r="F42" s="68"/>
      <c r="G42" s="68"/>
      <c r="H42" s="68"/>
    </row>
  </sheetData>
  <mergeCells count="8">
    <mergeCell ref="B25:D25"/>
    <mergeCell ref="B26:D26"/>
    <mergeCell ref="D28:G28"/>
    <mergeCell ref="A1:H1"/>
    <mergeCell ref="B21:D21"/>
    <mergeCell ref="B22:D22"/>
    <mergeCell ref="B23:D23"/>
    <mergeCell ref="B24:D24"/>
  </mergeCells>
  <pageMargins left="0.7" right="0.7" top="0.75" bottom="0.75" header="0.3" footer="0.3"/>
  <pageSetup paperSize="9" scale="7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view="pageBreakPreview" zoomScale="115" zoomScaleNormal="89" zoomScaleSheetLayoutView="115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2.28515625" style="44" customWidth="1"/>
    <col min="7" max="8" width="13" style="44" customWidth="1"/>
    <col min="9" max="16384" width="15.140625" style="43"/>
  </cols>
  <sheetData>
    <row r="1" spans="1:9" ht="44.25" customHeight="1">
      <c r="A1" s="172" t="s">
        <v>177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103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178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51">
        <v>1</v>
      </c>
      <c r="B11" s="79" t="s">
        <v>110</v>
      </c>
      <c r="C11" s="79" t="s">
        <v>110</v>
      </c>
      <c r="D11" s="79" t="s">
        <v>106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51">
        <v>2</v>
      </c>
      <c r="B12" s="79" t="s">
        <v>181</v>
      </c>
      <c r="C12" s="79" t="s">
        <v>182</v>
      </c>
      <c r="D12" s="79" t="s">
        <v>113</v>
      </c>
      <c r="E12" s="83">
        <v>1</v>
      </c>
      <c r="F12" s="79"/>
      <c r="G12" s="81"/>
      <c r="H12" s="78" t="s">
        <v>114</v>
      </c>
    </row>
    <row r="13" spans="1:9" s="50" customFormat="1" ht="16.5">
      <c r="A13" s="51">
        <v>3</v>
      </c>
      <c r="B13" s="79" t="s">
        <v>145</v>
      </c>
      <c r="C13" s="79"/>
      <c r="D13" s="79" t="s">
        <v>179</v>
      </c>
      <c r="E13" s="83">
        <v>1</v>
      </c>
      <c r="F13" s="79"/>
      <c r="G13" s="81"/>
      <c r="H13" s="78" t="s">
        <v>114</v>
      </c>
    </row>
    <row r="14" spans="1:9" s="50" customFormat="1" ht="16.5">
      <c r="A14" s="51">
        <v>4</v>
      </c>
      <c r="B14" s="79" t="s">
        <v>170</v>
      </c>
      <c r="C14" s="79" t="s">
        <v>171</v>
      </c>
      <c r="D14" s="79" t="s">
        <v>180</v>
      </c>
      <c r="E14" s="83">
        <v>1</v>
      </c>
      <c r="F14" s="79"/>
      <c r="G14" s="81"/>
      <c r="H14" s="78"/>
    </row>
    <row r="15" spans="1:9" s="50" customFormat="1" ht="15.75">
      <c r="A15" s="51">
        <v>5</v>
      </c>
      <c r="B15" s="95" t="s">
        <v>183</v>
      </c>
      <c r="C15" s="95" t="s">
        <v>184</v>
      </c>
      <c r="D15" s="95" t="s">
        <v>172</v>
      </c>
      <c r="E15" s="83">
        <v>0.9</v>
      </c>
      <c r="F15" s="84"/>
      <c r="G15" s="84"/>
      <c r="H15" s="84"/>
    </row>
    <row r="16" spans="1:9" s="54" customFormat="1" ht="31.5">
      <c r="A16" s="52"/>
      <c r="B16" s="49" t="s">
        <v>101</v>
      </c>
      <c r="C16" s="80"/>
      <c r="D16" s="52"/>
      <c r="E16" s="83">
        <f>AVERAGE(E11:E15)</f>
        <v>0.97499999999999998</v>
      </c>
      <c r="F16" s="53"/>
      <c r="G16" s="70"/>
      <c r="H16" s="70"/>
    </row>
    <row r="17" spans="1:8" s="54" customFormat="1" ht="15.75">
      <c r="A17" s="55"/>
      <c r="B17" s="74"/>
      <c r="C17" s="74"/>
      <c r="D17" s="74"/>
      <c r="E17" s="75"/>
      <c r="F17" s="75"/>
      <c r="G17" s="76"/>
      <c r="H17" s="76"/>
    </row>
    <row r="18" spans="1:8" s="58" customFormat="1" ht="20.25" customHeight="1">
      <c r="A18" s="55" t="s">
        <v>75</v>
      </c>
      <c r="B18" s="56" t="s">
        <v>99</v>
      </c>
      <c r="E18" s="57"/>
      <c r="F18" s="57"/>
      <c r="G18" s="57"/>
      <c r="H18" s="57"/>
    </row>
    <row r="19" spans="1:8" ht="6.75" customHeight="1"/>
    <row r="20" spans="1:8" s="58" customFormat="1" ht="31.5">
      <c r="A20" s="92" t="s">
        <v>34</v>
      </c>
      <c r="B20" s="174" t="s">
        <v>71</v>
      </c>
      <c r="C20" s="174"/>
      <c r="D20" s="174"/>
      <c r="E20" s="92" t="s">
        <v>100</v>
      </c>
      <c r="F20" s="92" t="s">
        <v>102</v>
      </c>
      <c r="G20" s="92" t="s">
        <v>70</v>
      </c>
    </row>
    <row r="21" spans="1:8" s="61" customFormat="1" ht="16.5">
      <c r="A21" s="60">
        <v>1</v>
      </c>
      <c r="B21" s="179" t="s">
        <v>186</v>
      </c>
      <c r="C21" s="179"/>
      <c r="D21" s="179"/>
      <c r="E21" s="78" t="s">
        <v>185</v>
      </c>
      <c r="F21" s="78"/>
      <c r="G21" s="78"/>
    </row>
    <row r="22" spans="1:8" s="61" customFormat="1" ht="16.5">
      <c r="A22" s="60">
        <v>2</v>
      </c>
      <c r="B22" s="179" t="s">
        <v>187</v>
      </c>
      <c r="C22" s="179"/>
      <c r="D22" s="179"/>
      <c r="E22" s="78" t="s">
        <v>185</v>
      </c>
      <c r="F22" s="78"/>
      <c r="G22" s="78"/>
    </row>
    <row r="23" spans="1:8" s="61" customFormat="1" ht="16.5">
      <c r="A23" s="60">
        <v>3</v>
      </c>
      <c r="B23" s="179" t="s">
        <v>188</v>
      </c>
      <c r="C23" s="179"/>
      <c r="D23" s="179"/>
      <c r="E23" s="78" t="s">
        <v>185</v>
      </c>
      <c r="F23" s="78"/>
      <c r="G23" s="78"/>
    </row>
    <row r="24" spans="1:8" ht="17.25" customHeight="1">
      <c r="B24" s="77"/>
      <c r="C24" s="77"/>
      <c r="D24" s="77"/>
      <c r="E24" s="77"/>
      <c r="F24" s="77"/>
      <c r="H24" s="43"/>
    </row>
    <row r="25" spans="1:8" s="72" customFormat="1" ht="18.75" customHeight="1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B27" s="68" t="s">
        <v>108</v>
      </c>
      <c r="E27" s="68"/>
      <c r="F27" s="68"/>
      <c r="G27" s="68"/>
      <c r="H27" s="68"/>
    </row>
    <row r="28" spans="1:8" s="61" customFormat="1" ht="16.5">
      <c r="A28" s="68"/>
      <c r="B28" s="68" t="s">
        <v>109</v>
      </c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</sheetData>
  <mergeCells count="6">
    <mergeCell ref="D25:G25"/>
    <mergeCell ref="A1:H1"/>
    <mergeCell ref="B20:D20"/>
    <mergeCell ref="B21:D21"/>
    <mergeCell ref="B22:D22"/>
    <mergeCell ref="B23:D23"/>
  </mergeCells>
  <pageMargins left="0.7" right="0.7" top="0.75" bottom="0.75" header="0.3" footer="0.3"/>
  <pageSetup paperSize="9" scale="8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zoomScale="89" zoomScaleNormal="89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3" style="44" customWidth="1"/>
    <col min="8" max="16384" width="15.140625" style="43"/>
  </cols>
  <sheetData>
    <row r="1" spans="1:9" ht="44.25" customHeight="1">
      <c r="A1" s="172" t="s">
        <v>189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103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178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115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151</v>
      </c>
      <c r="C11" s="79" t="s">
        <v>152</v>
      </c>
      <c r="D11" s="79" t="s">
        <v>113</v>
      </c>
      <c r="E11" s="83">
        <v>1</v>
      </c>
      <c r="F11" s="81"/>
      <c r="G11" s="78" t="s">
        <v>114</v>
      </c>
    </row>
    <row r="12" spans="1:9" s="50" customFormat="1" ht="16.5">
      <c r="A12" s="51">
        <v>3</v>
      </c>
      <c r="B12" s="79" t="s">
        <v>153</v>
      </c>
      <c r="C12" s="79" t="s">
        <v>154</v>
      </c>
      <c r="D12" s="79" t="s">
        <v>113</v>
      </c>
      <c r="E12" s="83">
        <v>1</v>
      </c>
      <c r="F12" s="81"/>
      <c r="G12" s="78" t="s">
        <v>114</v>
      </c>
    </row>
    <row r="13" spans="1:9" s="50" customFormat="1" ht="16.5">
      <c r="A13" s="51">
        <v>4</v>
      </c>
      <c r="B13" s="79" t="s">
        <v>161</v>
      </c>
      <c r="C13" s="79" t="s">
        <v>162</v>
      </c>
      <c r="D13" s="79" t="s">
        <v>113</v>
      </c>
      <c r="E13" s="83">
        <v>1</v>
      </c>
      <c r="F13" s="81"/>
      <c r="G13" s="78" t="s">
        <v>114</v>
      </c>
    </row>
    <row r="14" spans="1:9" s="50" customFormat="1" ht="16.5">
      <c r="A14" s="51"/>
      <c r="B14" s="79" t="s">
        <v>167</v>
      </c>
      <c r="C14" s="79" t="s">
        <v>168</v>
      </c>
      <c r="D14" s="79" t="s">
        <v>113</v>
      </c>
      <c r="E14" s="83">
        <v>1</v>
      </c>
      <c r="F14" s="81"/>
      <c r="G14" s="78" t="s">
        <v>114</v>
      </c>
    </row>
    <row r="15" spans="1:9" s="50" customFormat="1" ht="16.5">
      <c r="A15" s="51"/>
      <c r="B15" s="79" t="s">
        <v>181</v>
      </c>
      <c r="C15" s="79" t="s">
        <v>182</v>
      </c>
      <c r="D15" s="79" t="s">
        <v>113</v>
      </c>
      <c r="E15" s="83">
        <v>1</v>
      </c>
      <c r="F15" s="81"/>
      <c r="G15" s="78" t="s">
        <v>114</v>
      </c>
    </row>
    <row r="16" spans="1:9" s="50" customFormat="1" ht="16.5">
      <c r="A16" s="51"/>
      <c r="B16" s="79" t="s">
        <v>191</v>
      </c>
      <c r="C16" s="79" t="s">
        <v>194</v>
      </c>
      <c r="D16" s="79" t="s">
        <v>113</v>
      </c>
      <c r="E16" s="83">
        <v>1</v>
      </c>
      <c r="F16" s="81"/>
      <c r="G16" s="78" t="s">
        <v>114</v>
      </c>
    </row>
    <row r="17" spans="1:7" s="50" customFormat="1" ht="16.5">
      <c r="A17" s="51"/>
      <c r="B17" s="95" t="s">
        <v>183</v>
      </c>
      <c r="C17" s="79" t="s">
        <v>192</v>
      </c>
      <c r="D17" s="79" t="s">
        <v>172</v>
      </c>
      <c r="E17" s="83">
        <v>0.9</v>
      </c>
      <c r="F17" s="81"/>
      <c r="G17" s="78" t="s">
        <v>114</v>
      </c>
    </row>
    <row r="18" spans="1:7" s="50" customFormat="1" ht="16.5">
      <c r="A18" s="51"/>
      <c r="B18" s="79" t="s">
        <v>190</v>
      </c>
      <c r="C18" s="94" t="s">
        <v>193</v>
      </c>
      <c r="D18" s="79" t="s">
        <v>113</v>
      </c>
      <c r="F18" s="81"/>
      <c r="G18" s="78" t="s">
        <v>114</v>
      </c>
    </row>
    <row r="19" spans="1:7" s="54" customFormat="1" ht="15.75">
      <c r="A19" s="52"/>
      <c r="B19" s="49" t="s">
        <v>74</v>
      </c>
      <c r="C19" s="52"/>
      <c r="D19" s="52"/>
      <c r="E19" s="53">
        <f>AVERAGE(E11:E11)</f>
        <v>1</v>
      </c>
      <c r="F19" s="53"/>
      <c r="G19" s="70"/>
    </row>
    <row r="20" spans="1:7" s="54" customFormat="1" ht="15.75">
      <c r="A20" s="55"/>
      <c r="B20" s="74"/>
      <c r="C20" s="74"/>
      <c r="D20" s="74"/>
      <c r="E20" s="75"/>
      <c r="F20" s="75"/>
      <c r="G20" s="76"/>
    </row>
    <row r="21" spans="1:7" s="58" customFormat="1" ht="15.75">
      <c r="A21" s="55" t="s">
        <v>75</v>
      </c>
      <c r="B21" s="56" t="s">
        <v>76</v>
      </c>
      <c r="E21" s="57"/>
      <c r="F21" s="57"/>
      <c r="G21" s="57"/>
    </row>
    <row r="23" spans="1:7" s="58" customFormat="1" ht="47.25">
      <c r="A23" s="92" t="s">
        <v>6</v>
      </c>
      <c r="B23" s="174" t="s">
        <v>71</v>
      </c>
      <c r="C23" s="174"/>
      <c r="D23" s="174"/>
      <c r="E23" s="92" t="s">
        <v>92</v>
      </c>
      <c r="F23" s="92" t="s">
        <v>87</v>
      </c>
      <c r="G23" s="92" t="s">
        <v>70</v>
      </c>
    </row>
    <row r="24" spans="1:7" s="61" customFormat="1" ht="16.5">
      <c r="A24" s="60">
        <v>1</v>
      </c>
      <c r="B24" s="187" t="s">
        <v>77</v>
      </c>
      <c r="C24" s="188"/>
      <c r="D24" s="189"/>
      <c r="E24" s="60">
        <v>9</v>
      </c>
      <c r="F24" s="60"/>
      <c r="G24" s="60"/>
    </row>
    <row r="25" spans="1:7" s="61" customFormat="1" ht="16.5">
      <c r="A25" s="60">
        <v>2</v>
      </c>
      <c r="B25" s="187" t="s">
        <v>78</v>
      </c>
      <c r="C25" s="188"/>
      <c r="D25" s="189"/>
      <c r="E25" s="60">
        <v>9</v>
      </c>
      <c r="F25" s="60"/>
      <c r="G25" s="60"/>
    </row>
    <row r="26" spans="1:7" s="61" customFormat="1" ht="16.5">
      <c r="A26" s="60">
        <v>3</v>
      </c>
      <c r="B26" s="62" t="s">
        <v>79</v>
      </c>
      <c r="C26" s="63"/>
      <c r="D26" s="64"/>
      <c r="E26" s="60">
        <v>6</v>
      </c>
      <c r="F26" s="60"/>
      <c r="G26" s="60"/>
    </row>
    <row r="27" spans="1:7" s="61" customFormat="1" ht="16.5">
      <c r="A27" s="60">
        <v>4</v>
      </c>
      <c r="B27" s="62" t="s">
        <v>80</v>
      </c>
      <c r="C27" s="63"/>
      <c r="D27" s="64"/>
      <c r="E27" s="60">
        <v>9</v>
      </c>
      <c r="F27" s="60"/>
      <c r="G27" s="60"/>
    </row>
    <row r="28" spans="1:7" s="61" customFormat="1" ht="16.5">
      <c r="A28" s="60">
        <v>5</v>
      </c>
      <c r="B28" s="187" t="s">
        <v>81</v>
      </c>
      <c r="C28" s="188"/>
      <c r="D28" s="189"/>
      <c r="E28" s="60">
        <v>9</v>
      </c>
      <c r="F28" s="60"/>
      <c r="G28" s="60"/>
    </row>
    <row r="29" spans="1:7">
      <c r="A29" s="65"/>
      <c r="B29" s="184" t="s">
        <v>74</v>
      </c>
      <c r="C29" s="185"/>
      <c r="D29" s="186"/>
      <c r="E29" s="66"/>
      <c r="F29" s="66"/>
      <c r="G29" s="65"/>
    </row>
    <row r="30" spans="1:7" ht="17.25" customHeight="1">
      <c r="B30" s="77"/>
      <c r="C30" s="77"/>
      <c r="D30" s="77"/>
      <c r="E30" s="77"/>
      <c r="F30" s="77"/>
    </row>
    <row r="31" spans="1:7" s="61" customFormat="1" ht="16.5">
      <c r="A31" s="67" t="s">
        <v>85</v>
      </c>
      <c r="E31" s="68"/>
      <c r="F31" s="68"/>
      <c r="G31" s="68"/>
    </row>
    <row r="32" spans="1:7" s="61" customFormat="1" ht="16.5">
      <c r="A32" s="69" t="s">
        <v>82</v>
      </c>
      <c r="E32" s="68"/>
      <c r="F32" s="68"/>
      <c r="G32" s="68"/>
    </row>
    <row r="33" spans="1:7" s="61" customFormat="1" ht="16.5">
      <c r="A33" s="69" t="s">
        <v>83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/>
      <c r="E36" s="68"/>
      <c r="F36" s="68"/>
      <c r="G36" s="68"/>
    </row>
    <row r="37" spans="1:7" s="61" customFormat="1" ht="16.5">
      <c r="A37" s="67" t="s">
        <v>86</v>
      </c>
      <c r="E37" s="68"/>
      <c r="F37" s="68"/>
      <c r="G37" s="68"/>
    </row>
    <row r="38" spans="1:7" s="61" customFormat="1" ht="16.5">
      <c r="A38" s="69" t="s">
        <v>82</v>
      </c>
      <c r="E38" s="68"/>
      <c r="F38" s="68"/>
      <c r="G38" s="68"/>
    </row>
    <row r="39" spans="1:7" s="61" customFormat="1" ht="16.5">
      <c r="A39" s="69" t="s">
        <v>83</v>
      </c>
      <c r="E39" s="68"/>
      <c r="F39" s="68"/>
      <c r="G39" s="68"/>
    </row>
    <row r="40" spans="1:7" s="61" customFormat="1" ht="16.5">
      <c r="A40" s="69" t="s">
        <v>83</v>
      </c>
      <c r="E40" s="68"/>
      <c r="F40" s="68"/>
      <c r="G40" s="68"/>
    </row>
    <row r="41" spans="1:7" s="61" customFormat="1" ht="16.5">
      <c r="A41" s="69" t="s">
        <v>83</v>
      </c>
      <c r="E41" s="68"/>
      <c r="F41" s="68"/>
      <c r="G41" s="68"/>
    </row>
    <row r="42" spans="1:7" s="61" customFormat="1" ht="16.5">
      <c r="E42" s="68"/>
      <c r="F42" s="68"/>
      <c r="G42" s="68"/>
    </row>
    <row r="43" spans="1:7" s="72" customFormat="1" ht="18.75" customHeight="1">
      <c r="A43" s="71"/>
      <c r="B43" s="71" t="s">
        <v>89</v>
      </c>
      <c r="C43" s="73" t="s">
        <v>90</v>
      </c>
      <c r="D43" s="173" t="s">
        <v>7</v>
      </c>
      <c r="E43" s="173"/>
      <c r="F43" s="173"/>
      <c r="G43" s="173"/>
    </row>
    <row r="44" spans="1:7" s="61" customFormat="1" ht="16.5">
      <c r="A44" s="68"/>
      <c r="B44" s="68" t="s">
        <v>108</v>
      </c>
      <c r="E44" s="68"/>
      <c r="F44" s="68"/>
      <c r="G44" s="68"/>
    </row>
    <row r="45" spans="1:7" s="61" customFormat="1" ht="16.5">
      <c r="A45" s="68"/>
      <c r="B45" s="68" t="s">
        <v>109</v>
      </c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  <row r="53" spans="1:7" s="61" customFormat="1" ht="16.5">
      <c r="A53" s="68"/>
      <c r="E53" s="68"/>
      <c r="F53" s="68"/>
      <c r="G53" s="68"/>
    </row>
    <row r="54" spans="1:7" s="61" customFormat="1" ht="16.5">
      <c r="A54" s="68"/>
      <c r="E54" s="68"/>
      <c r="F54" s="68"/>
      <c r="G54" s="68"/>
    </row>
    <row r="55" spans="1:7" s="61" customFormat="1" ht="16.5">
      <c r="A55" s="68"/>
      <c r="E55" s="68"/>
      <c r="F55" s="68"/>
      <c r="G55" s="68"/>
    </row>
    <row r="56" spans="1:7" s="61" customFormat="1" ht="16.5">
      <c r="A56" s="68"/>
      <c r="E56" s="68"/>
      <c r="F56" s="68"/>
      <c r="G56" s="68"/>
    </row>
    <row r="57" spans="1:7" s="61" customFormat="1" ht="16.5">
      <c r="A57" s="68"/>
      <c r="E57" s="68"/>
      <c r="F57" s="68"/>
      <c r="G57" s="68"/>
    </row>
  </sheetData>
  <mergeCells count="7">
    <mergeCell ref="D43:G43"/>
    <mergeCell ref="A1:G1"/>
    <mergeCell ref="B23:D23"/>
    <mergeCell ref="B24:D24"/>
    <mergeCell ref="B25:D25"/>
    <mergeCell ref="B28:D28"/>
    <mergeCell ref="B29:D29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view="pageBreakPreview" zoomScale="115" zoomScaleNormal="89" zoomScaleSheetLayoutView="115" workbookViewId="0">
      <selection activeCell="C5" sqref="C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8" width="13" style="44" customWidth="1"/>
    <col min="9" max="16384" width="15.140625" style="43"/>
  </cols>
  <sheetData>
    <row r="1" spans="1:9" ht="44.25" customHeight="1">
      <c r="A1" s="172" t="s">
        <v>197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196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30" customHeight="1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51">
        <v>2</v>
      </c>
      <c r="B12" s="79" t="s">
        <v>202</v>
      </c>
      <c r="C12" s="79" t="s">
        <v>202</v>
      </c>
      <c r="D12" s="79" t="s">
        <v>172</v>
      </c>
      <c r="E12" s="83">
        <v>0.3</v>
      </c>
      <c r="F12" s="79"/>
      <c r="G12" s="81"/>
      <c r="H12" s="78" t="s">
        <v>114</v>
      </c>
    </row>
    <row r="13" spans="1:9" s="50" customFormat="1" ht="31.5">
      <c r="A13" s="52"/>
      <c r="B13" s="49" t="s">
        <v>101</v>
      </c>
      <c r="C13" s="80"/>
      <c r="D13" s="52"/>
      <c r="E13" s="83">
        <v>0.65</v>
      </c>
      <c r="F13" s="53"/>
      <c r="G13" s="70"/>
      <c r="H13" s="70"/>
    </row>
    <row r="14" spans="1:9" s="50" customFormat="1" ht="15.75">
      <c r="A14" s="55"/>
      <c r="B14" s="74"/>
      <c r="C14" s="74"/>
      <c r="D14" s="74"/>
      <c r="E14" s="75"/>
      <c r="F14" s="75"/>
      <c r="G14" s="76"/>
      <c r="H14" s="76"/>
    </row>
    <row r="15" spans="1:9" s="50" customFormat="1" ht="15.75">
      <c r="A15" s="55" t="s">
        <v>75</v>
      </c>
      <c r="B15" s="56" t="s">
        <v>99</v>
      </c>
      <c r="C15" s="58"/>
      <c r="D15" s="58"/>
      <c r="E15" s="57"/>
      <c r="F15" s="57"/>
      <c r="G15" s="57"/>
      <c r="H15" s="57"/>
    </row>
    <row r="16" spans="1:9" s="54" customFormat="1">
      <c r="A16" s="44"/>
      <c r="B16" s="43"/>
      <c r="C16" s="43"/>
      <c r="D16" s="43"/>
      <c r="E16" s="44"/>
      <c r="F16" s="44"/>
      <c r="G16" s="44"/>
      <c r="H16" s="44"/>
    </row>
    <row r="17" spans="1:8" s="54" customFormat="1" ht="15.75">
      <c r="A17" s="93" t="s">
        <v>34</v>
      </c>
      <c r="B17" s="174" t="s">
        <v>71</v>
      </c>
      <c r="C17" s="174"/>
      <c r="D17" s="174"/>
      <c r="E17" s="93" t="s">
        <v>100</v>
      </c>
      <c r="F17" s="93" t="s">
        <v>102</v>
      </c>
      <c r="G17" s="93" t="s">
        <v>70</v>
      </c>
      <c r="H17" s="58"/>
    </row>
    <row r="18" spans="1:8" s="58" customFormat="1" ht="16.5">
      <c r="A18" s="60">
        <v>1</v>
      </c>
      <c r="B18" s="179" t="s">
        <v>110</v>
      </c>
      <c r="C18" s="179"/>
      <c r="D18" s="179"/>
      <c r="E18" s="78" t="s">
        <v>201</v>
      </c>
      <c r="F18" s="78" t="s">
        <v>204</v>
      </c>
      <c r="G18" s="78"/>
      <c r="H18" s="61"/>
    </row>
    <row r="19" spans="1:8">
      <c r="A19" s="60">
        <v>2</v>
      </c>
      <c r="B19" s="179" t="s">
        <v>203</v>
      </c>
      <c r="C19" s="179"/>
      <c r="D19" s="179"/>
      <c r="E19" s="78" t="s">
        <v>201</v>
      </c>
      <c r="F19" s="78"/>
      <c r="G19" s="78"/>
      <c r="H19" s="61"/>
    </row>
    <row r="20" spans="1:8" s="58" customFormat="1">
      <c r="A20" s="44"/>
      <c r="B20" s="77"/>
      <c r="C20" s="77"/>
      <c r="D20" s="77"/>
      <c r="E20" s="77"/>
      <c r="F20" s="77"/>
      <c r="G20" s="44"/>
      <c r="H20" s="43"/>
    </row>
    <row r="21" spans="1:8" s="61" customFormat="1" ht="16.5">
      <c r="A21" s="71"/>
      <c r="B21" s="71" t="s">
        <v>89</v>
      </c>
      <c r="C21" s="73" t="s">
        <v>90</v>
      </c>
      <c r="D21" s="173" t="s">
        <v>7</v>
      </c>
      <c r="E21" s="173"/>
      <c r="F21" s="173"/>
      <c r="G21" s="173"/>
      <c r="H21" s="72"/>
    </row>
    <row r="22" spans="1:8" s="61" customFormat="1" ht="16.5">
      <c r="A22" s="68"/>
      <c r="E22" s="68"/>
      <c r="F22" s="68"/>
      <c r="G22" s="68"/>
      <c r="H22" s="68"/>
    </row>
    <row r="23" spans="1:8" ht="17.25" customHeight="1">
      <c r="A23" s="68"/>
      <c r="B23" s="68" t="s">
        <v>199</v>
      </c>
      <c r="C23" s="61"/>
      <c r="D23" s="61"/>
      <c r="E23" s="68"/>
      <c r="F23" s="68"/>
      <c r="G23" s="68"/>
      <c r="H23" s="68"/>
    </row>
    <row r="24" spans="1:8" s="72" customFormat="1" ht="18.75" customHeight="1">
      <c r="A24" s="68"/>
      <c r="B24" s="68" t="s">
        <v>200</v>
      </c>
      <c r="C24" s="61"/>
      <c r="D24" s="61"/>
      <c r="E24" s="68"/>
      <c r="F24" s="68"/>
      <c r="G24" s="68"/>
      <c r="H24" s="68"/>
    </row>
    <row r="25" spans="1:8" s="61" customFormat="1" ht="16.5">
      <c r="A25" s="68"/>
      <c r="E25" s="68"/>
      <c r="F25" s="68"/>
      <c r="G25" s="68"/>
      <c r="H25" s="68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>
      <c r="A36" s="44"/>
      <c r="B36" s="43"/>
      <c r="C36" s="43"/>
      <c r="D36" s="43"/>
      <c r="E36" s="44"/>
      <c r="F36" s="44"/>
      <c r="G36" s="44"/>
      <c r="H36" s="44"/>
    </row>
    <row r="37" spans="1:8" s="61" customFormat="1">
      <c r="A37" s="44"/>
      <c r="B37" s="43"/>
      <c r="C37" s="43"/>
      <c r="D37" s="43"/>
      <c r="E37" s="44"/>
      <c r="F37" s="44"/>
      <c r="G37" s="44"/>
      <c r="H37" s="44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</sheetData>
  <mergeCells count="5">
    <mergeCell ref="D21:G21"/>
    <mergeCell ref="A1:H1"/>
    <mergeCell ref="B17:D17"/>
    <mergeCell ref="B18:D18"/>
    <mergeCell ref="B19:D19"/>
  </mergeCells>
  <pageMargins left="0.7" right="0.7" top="0.75" bottom="0.75" header="0.3" footer="0.3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view="pageBreakPreview" zoomScale="115" zoomScaleNormal="89" zoomScaleSheetLayoutView="115" workbookViewId="0">
      <selection activeCell="H3" sqref="H3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8" width="13" style="44" customWidth="1"/>
    <col min="9" max="16384" width="15.140625" style="43"/>
  </cols>
  <sheetData>
    <row r="1" spans="1:9" ht="44.25" customHeight="1">
      <c r="A1" s="172" t="s">
        <v>205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206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51">
        <v>2</v>
      </c>
      <c r="B12" s="79" t="s">
        <v>207</v>
      </c>
      <c r="C12" s="79" t="s">
        <v>207</v>
      </c>
      <c r="D12" s="79" t="s">
        <v>198</v>
      </c>
      <c r="E12" s="83">
        <v>1</v>
      </c>
      <c r="F12" s="79"/>
      <c r="G12" s="79"/>
      <c r="H12" s="78" t="s">
        <v>114</v>
      </c>
    </row>
    <row r="13" spans="1:9" s="50" customFormat="1" ht="16.5">
      <c r="A13" s="51">
        <v>3</v>
      </c>
      <c r="B13" s="79" t="s">
        <v>202</v>
      </c>
      <c r="C13" s="79" t="s">
        <v>202</v>
      </c>
      <c r="D13" s="79" t="s">
        <v>172</v>
      </c>
      <c r="E13" s="83">
        <v>0.4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v>0.8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96" t="s">
        <v>34</v>
      </c>
      <c r="B18" s="174" t="s">
        <v>71</v>
      </c>
      <c r="C18" s="174"/>
      <c r="D18" s="174"/>
      <c r="E18" s="96" t="s">
        <v>100</v>
      </c>
      <c r="F18" s="96" t="s">
        <v>102</v>
      </c>
      <c r="G18" s="96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190" t="s">
        <v>208</v>
      </c>
      <c r="F19" s="78" t="s">
        <v>204</v>
      </c>
      <c r="G19" s="78"/>
      <c r="H19" s="61"/>
    </row>
    <row r="20" spans="1:8">
      <c r="A20" s="60">
        <v>2</v>
      </c>
      <c r="B20" s="179" t="s">
        <v>203</v>
      </c>
      <c r="C20" s="179"/>
      <c r="D20" s="179"/>
      <c r="E20" s="191"/>
      <c r="F20" s="78"/>
      <c r="G20" s="78"/>
      <c r="H20" s="61"/>
    </row>
    <row r="21" spans="1:8" s="58" customFormat="1">
      <c r="A21" s="44"/>
      <c r="B21" s="77"/>
      <c r="C21" s="77"/>
      <c r="D21" s="77"/>
      <c r="E21" s="77"/>
      <c r="F21" s="77"/>
      <c r="G21" s="44"/>
      <c r="H21" s="43"/>
    </row>
    <row r="22" spans="1:8" s="61" customFormat="1" ht="16.5">
      <c r="A22" s="71"/>
      <c r="B22" s="71" t="s">
        <v>89</v>
      </c>
      <c r="C22" s="73" t="s">
        <v>90</v>
      </c>
      <c r="D22" s="173" t="s">
        <v>7</v>
      </c>
      <c r="E22" s="173"/>
      <c r="F22" s="173"/>
      <c r="G22" s="173"/>
      <c r="H22" s="72"/>
    </row>
    <row r="23" spans="1:8" s="61" customFormat="1" ht="16.5">
      <c r="A23" s="68"/>
      <c r="E23" s="68"/>
      <c r="F23" s="68"/>
      <c r="G23" s="68"/>
      <c r="H23" s="68"/>
    </row>
    <row r="24" spans="1:8" ht="17.25" customHeight="1">
      <c r="A24" s="68"/>
      <c r="B24" s="68" t="s">
        <v>199</v>
      </c>
      <c r="C24" s="61"/>
      <c r="D24" s="61"/>
      <c r="E24" s="68"/>
      <c r="F24" s="68"/>
      <c r="G24" s="68"/>
      <c r="H24" s="68"/>
    </row>
    <row r="25" spans="1:8" s="72" customFormat="1" ht="18.75" customHeight="1">
      <c r="A25" s="68"/>
      <c r="B25" s="68" t="s">
        <v>200</v>
      </c>
      <c r="C25" s="61"/>
      <c r="D25" s="61"/>
      <c r="E25" s="68"/>
      <c r="F25" s="68"/>
      <c r="G25" s="68"/>
      <c r="H25" s="68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>
      <c r="A37" s="44"/>
      <c r="B37" s="43"/>
      <c r="C37" s="43"/>
      <c r="D37" s="43"/>
      <c r="E37" s="44"/>
      <c r="F37" s="44"/>
      <c r="G37" s="44"/>
      <c r="H37" s="44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</sheetData>
  <mergeCells count="6">
    <mergeCell ref="A1:H1"/>
    <mergeCell ref="B18:D18"/>
    <mergeCell ref="B19:D19"/>
    <mergeCell ref="B20:D20"/>
    <mergeCell ref="D22:G22"/>
    <mergeCell ref="E19:E20"/>
  </mergeCells>
  <pageMargins left="0.7" right="0.7" top="0.75" bottom="0.75" header="0.3" footer="0.3"/>
  <pageSetup paperSize="9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view="pageBreakPreview" topLeftCell="A16" zoomScale="115" zoomScaleNormal="89" zoomScaleSheetLayoutView="115" workbookViewId="0">
      <selection activeCell="E15" sqref="E1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8" width="13" style="44" customWidth="1"/>
    <col min="9" max="16384" width="15.140625" style="43"/>
  </cols>
  <sheetData>
    <row r="1" spans="1:9" ht="44.25" customHeight="1">
      <c r="A1" s="172" t="s">
        <v>209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210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51">
        <v>2</v>
      </c>
      <c r="B12" s="79" t="s">
        <v>207</v>
      </c>
      <c r="C12" s="79" t="s">
        <v>207</v>
      </c>
      <c r="D12" s="79" t="s">
        <v>198</v>
      </c>
      <c r="E12" s="83">
        <v>1</v>
      </c>
      <c r="F12" s="79"/>
      <c r="G12" s="79"/>
      <c r="H12" s="78" t="s">
        <v>114</v>
      </c>
    </row>
    <row r="13" spans="1:9" s="50" customFormat="1" ht="16.5">
      <c r="A13" s="51">
        <v>3</v>
      </c>
      <c r="B13" s="79" t="s">
        <v>202</v>
      </c>
      <c r="C13" s="79" t="s">
        <v>202</v>
      </c>
      <c r="D13" s="79" t="s">
        <v>172</v>
      </c>
      <c r="E13" s="83">
        <v>0.5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v>0.85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97" t="s">
        <v>34</v>
      </c>
      <c r="B18" s="174" t="s">
        <v>71</v>
      </c>
      <c r="C18" s="174"/>
      <c r="D18" s="174"/>
      <c r="E18" s="97" t="s">
        <v>100</v>
      </c>
      <c r="F18" s="97" t="s">
        <v>102</v>
      </c>
      <c r="G18" s="97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190" t="s">
        <v>211</v>
      </c>
      <c r="F19" s="78" t="s">
        <v>204</v>
      </c>
      <c r="G19" s="78"/>
      <c r="H19" s="61"/>
    </row>
    <row r="20" spans="1:8">
      <c r="A20" s="60">
        <v>2</v>
      </c>
      <c r="B20" s="179" t="s">
        <v>203</v>
      </c>
      <c r="C20" s="179"/>
      <c r="D20" s="179"/>
      <c r="E20" s="191"/>
      <c r="F20" s="78"/>
      <c r="G20" s="78"/>
      <c r="H20" s="61"/>
    </row>
    <row r="21" spans="1:8" s="58" customFormat="1">
      <c r="A21" s="44"/>
      <c r="B21" s="77"/>
      <c r="C21" s="77"/>
      <c r="D21" s="77"/>
      <c r="E21" s="77"/>
      <c r="F21" s="77"/>
      <c r="G21" s="44"/>
      <c r="H21" s="43"/>
    </row>
    <row r="22" spans="1:8" s="61" customFormat="1" ht="16.5">
      <c r="A22" s="71"/>
      <c r="B22" s="71" t="s">
        <v>89</v>
      </c>
      <c r="C22" s="73" t="s">
        <v>90</v>
      </c>
      <c r="D22" s="173" t="s">
        <v>7</v>
      </c>
      <c r="E22" s="173"/>
      <c r="F22" s="173"/>
      <c r="G22" s="173"/>
      <c r="H22" s="72"/>
    </row>
    <row r="23" spans="1:8" s="61" customFormat="1" ht="16.5">
      <c r="A23" s="68"/>
      <c r="E23" s="68"/>
      <c r="F23" s="68"/>
      <c r="G23" s="68"/>
      <c r="H23" s="68"/>
    </row>
    <row r="24" spans="1:8" ht="17.25" customHeight="1">
      <c r="A24" s="68"/>
      <c r="B24" s="68" t="s">
        <v>199</v>
      </c>
      <c r="C24" s="61"/>
      <c r="D24" s="61"/>
      <c r="E24" s="68"/>
      <c r="F24" s="68"/>
      <c r="G24" s="68"/>
      <c r="H24" s="68"/>
    </row>
    <row r="25" spans="1:8" s="72" customFormat="1" ht="18.75" customHeight="1">
      <c r="A25" s="68"/>
      <c r="B25" s="68" t="s">
        <v>200</v>
      </c>
      <c r="C25" s="61"/>
      <c r="D25" s="61"/>
      <c r="E25" s="68"/>
      <c r="F25" s="68"/>
      <c r="G25" s="68"/>
      <c r="H25" s="68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>
      <c r="A37" s="44"/>
      <c r="B37" s="43"/>
      <c r="C37" s="43"/>
      <c r="D37" s="43"/>
      <c r="E37" s="44"/>
      <c r="F37" s="44"/>
      <c r="G37" s="44"/>
      <c r="H37" s="44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</sheetData>
  <mergeCells count="6">
    <mergeCell ref="D22:G22"/>
    <mergeCell ref="A1:H1"/>
    <mergeCell ref="B18:D18"/>
    <mergeCell ref="B19:D19"/>
    <mergeCell ref="E19:E20"/>
    <mergeCell ref="B20:D20"/>
  </mergeCells>
  <pageMargins left="0.7" right="0.7" top="0.75" bottom="0.75" header="0.3" footer="0.3"/>
  <pageSetup paperSize="9" scale="8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view="pageBreakPreview" zoomScale="115" zoomScaleNormal="89" zoomScaleSheetLayoutView="115" workbookViewId="0">
      <selection activeCell="F6" sqref="F6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8" width="13" style="44" customWidth="1"/>
    <col min="9" max="16384" width="15.140625" style="43"/>
  </cols>
  <sheetData>
    <row r="1" spans="1:9" ht="44.25" customHeight="1">
      <c r="A1" s="172" t="s">
        <v>212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213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16.5">
      <c r="A12" s="51">
        <v>2</v>
      </c>
      <c r="B12" s="79" t="s">
        <v>207</v>
      </c>
      <c r="C12" s="79" t="s">
        <v>207</v>
      </c>
      <c r="D12" s="79" t="s">
        <v>198</v>
      </c>
      <c r="E12" s="83">
        <v>1</v>
      </c>
      <c r="F12" s="79"/>
      <c r="G12" s="79"/>
      <c r="H12" s="78" t="s">
        <v>114</v>
      </c>
    </row>
    <row r="13" spans="1:9" s="50" customFormat="1" ht="16.5">
      <c r="A13" s="51">
        <v>3</v>
      </c>
      <c r="B13" s="79" t="s">
        <v>202</v>
      </c>
      <c r="C13" s="79" t="s">
        <v>202</v>
      </c>
      <c r="D13" s="79" t="s">
        <v>172</v>
      </c>
      <c r="E13" s="83">
        <v>0.6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v>0.85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98" t="s">
        <v>34</v>
      </c>
      <c r="B18" s="174" t="s">
        <v>71</v>
      </c>
      <c r="C18" s="174"/>
      <c r="D18" s="174"/>
      <c r="E18" s="98" t="s">
        <v>100</v>
      </c>
      <c r="F18" s="98" t="s">
        <v>102</v>
      </c>
      <c r="G18" s="98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190" t="s">
        <v>214</v>
      </c>
      <c r="F19" s="78" t="s">
        <v>204</v>
      </c>
      <c r="G19" s="78"/>
      <c r="H19" s="61"/>
    </row>
    <row r="20" spans="1:8">
      <c r="A20" s="60">
        <v>2</v>
      </c>
      <c r="B20" s="179" t="s">
        <v>203</v>
      </c>
      <c r="C20" s="179"/>
      <c r="D20" s="179"/>
      <c r="E20" s="191"/>
      <c r="F20" s="78"/>
      <c r="G20" s="78"/>
      <c r="H20" s="61"/>
    </row>
    <row r="21" spans="1:8" s="58" customFormat="1">
      <c r="A21" s="44"/>
      <c r="B21" s="77"/>
      <c r="C21" s="77"/>
      <c r="D21" s="77"/>
      <c r="E21" s="77"/>
      <c r="F21" s="77"/>
      <c r="G21" s="44"/>
      <c r="H21" s="43"/>
    </row>
    <row r="22" spans="1:8" s="61" customFormat="1" ht="16.5">
      <c r="A22" s="71"/>
      <c r="B22" s="71" t="s">
        <v>89</v>
      </c>
      <c r="C22" s="73" t="s">
        <v>90</v>
      </c>
      <c r="D22" s="173" t="s">
        <v>7</v>
      </c>
      <c r="E22" s="173"/>
      <c r="F22" s="173"/>
      <c r="G22" s="173"/>
      <c r="H22" s="72"/>
    </row>
    <row r="23" spans="1:8" s="61" customFormat="1" ht="16.5">
      <c r="A23" s="68"/>
      <c r="E23" s="68"/>
      <c r="F23" s="68"/>
      <c r="G23" s="68"/>
      <c r="H23" s="68"/>
    </row>
    <row r="24" spans="1:8" ht="17.25" customHeight="1">
      <c r="A24" s="68"/>
      <c r="B24" s="68" t="s">
        <v>199</v>
      </c>
      <c r="C24" s="61"/>
      <c r="D24" s="61"/>
      <c r="E24" s="68"/>
      <c r="F24" s="68"/>
      <c r="G24" s="68"/>
      <c r="H24" s="68"/>
    </row>
    <row r="25" spans="1:8" s="72" customFormat="1" ht="18.75" customHeight="1">
      <c r="A25" s="68"/>
      <c r="B25" s="68" t="s">
        <v>200</v>
      </c>
      <c r="C25" s="61"/>
      <c r="D25" s="61"/>
      <c r="E25" s="68"/>
      <c r="F25" s="68"/>
      <c r="G25" s="68"/>
      <c r="H25" s="68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>
      <c r="A37" s="44"/>
      <c r="B37" s="43"/>
      <c r="C37" s="43"/>
      <c r="D37" s="43"/>
      <c r="E37" s="44"/>
      <c r="F37" s="44"/>
      <c r="G37" s="44"/>
      <c r="H37" s="44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</sheetData>
  <mergeCells count="6">
    <mergeCell ref="D22:G22"/>
    <mergeCell ref="A1:H1"/>
    <mergeCell ref="B18:D18"/>
    <mergeCell ref="B19:D19"/>
    <mergeCell ref="E19:E20"/>
    <mergeCell ref="B20:D20"/>
  </mergeCells>
  <pageMargins left="0.7" right="0.7" top="0.75" bottom="0.75" header="0.3" footer="0.3"/>
  <pageSetup paperSize="9" scale="8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zoomScale="89" zoomScaleNormal="89" workbookViewId="0">
      <selection activeCell="G40" sqref="A1:G40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3" style="44" customWidth="1"/>
    <col min="8" max="16384" width="15.140625" style="43"/>
  </cols>
  <sheetData>
    <row r="1" spans="1:9" ht="44.25" customHeight="1">
      <c r="A1" s="172" t="s">
        <v>215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213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217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99" t="s">
        <v>110</v>
      </c>
      <c r="D11" s="79" t="s">
        <v>113</v>
      </c>
      <c r="E11" s="83">
        <v>1</v>
      </c>
      <c r="F11" s="81"/>
      <c r="G11" s="78" t="s">
        <v>114</v>
      </c>
    </row>
    <row r="12" spans="1:9" s="50" customFormat="1" ht="16.5">
      <c r="A12" s="51">
        <v>3</v>
      </c>
      <c r="B12" s="99" t="s">
        <v>207</v>
      </c>
      <c r="C12" s="99" t="s">
        <v>216</v>
      </c>
      <c r="D12" s="79" t="s">
        <v>113</v>
      </c>
      <c r="E12" s="83">
        <v>1</v>
      </c>
      <c r="F12" s="81"/>
      <c r="G12" s="78" t="s">
        <v>114</v>
      </c>
    </row>
    <row r="13" spans="1:9" s="50" customFormat="1" ht="33">
      <c r="A13" s="51">
        <v>4</v>
      </c>
      <c r="B13" s="99" t="s">
        <v>202</v>
      </c>
      <c r="C13" s="99" t="s">
        <v>202</v>
      </c>
      <c r="D13" s="79" t="s">
        <v>113</v>
      </c>
      <c r="E13" s="83">
        <v>0.6</v>
      </c>
      <c r="F13" s="81"/>
      <c r="G13" s="78" t="s">
        <v>114</v>
      </c>
    </row>
    <row r="14" spans="1:9" s="54" customFormat="1" ht="15.75">
      <c r="A14" s="52"/>
      <c r="B14" s="49" t="s">
        <v>74</v>
      </c>
      <c r="C14" s="52"/>
      <c r="D14" s="52"/>
      <c r="E14" s="53">
        <f>AVERAGE(E11:E13)</f>
        <v>0.8666666666666667</v>
      </c>
      <c r="F14" s="53"/>
      <c r="G14" s="70"/>
    </row>
    <row r="15" spans="1:9" s="54" customFormat="1" ht="15.75">
      <c r="A15" s="55"/>
      <c r="B15" s="74"/>
      <c r="C15" s="74"/>
      <c r="D15" s="74"/>
      <c r="E15" s="75"/>
      <c r="F15" s="75"/>
      <c r="G15" s="76"/>
    </row>
    <row r="16" spans="1:9" s="58" customFormat="1" ht="15.75">
      <c r="A16" s="55" t="s">
        <v>75</v>
      </c>
      <c r="B16" s="56" t="s">
        <v>76</v>
      </c>
      <c r="E16" s="57"/>
      <c r="F16" s="57"/>
      <c r="G16" s="57"/>
    </row>
    <row r="18" spans="1:7" s="58" customFormat="1" ht="47.25">
      <c r="A18" s="98" t="s">
        <v>6</v>
      </c>
      <c r="B18" s="174" t="s">
        <v>71</v>
      </c>
      <c r="C18" s="174"/>
      <c r="D18" s="174"/>
      <c r="E18" s="98" t="s">
        <v>92</v>
      </c>
      <c r="F18" s="98" t="s">
        <v>87</v>
      </c>
      <c r="G18" s="98" t="s">
        <v>70</v>
      </c>
    </row>
    <row r="19" spans="1:7" s="61" customFormat="1" ht="16.5">
      <c r="A19" s="60">
        <v>1</v>
      </c>
      <c r="B19" s="193" t="s">
        <v>77</v>
      </c>
      <c r="C19" s="193"/>
      <c r="D19" s="193"/>
      <c r="E19" s="60">
        <v>9</v>
      </c>
      <c r="F19" s="60"/>
      <c r="G19" s="60"/>
    </row>
    <row r="20" spans="1:7" s="61" customFormat="1" ht="16.5">
      <c r="A20" s="60">
        <v>2</v>
      </c>
      <c r="B20" s="193" t="s">
        <v>78</v>
      </c>
      <c r="C20" s="193"/>
      <c r="D20" s="193"/>
      <c r="E20" s="60">
        <v>9</v>
      </c>
      <c r="F20" s="60"/>
      <c r="G20" s="60"/>
    </row>
    <row r="21" spans="1:7" s="61" customFormat="1" ht="16.5">
      <c r="A21" s="60">
        <v>3</v>
      </c>
      <c r="B21" s="192" t="s">
        <v>79</v>
      </c>
      <c r="C21" s="192"/>
      <c r="D21" s="192"/>
      <c r="E21" s="60">
        <v>7</v>
      </c>
      <c r="F21" s="60"/>
      <c r="G21" s="60"/>
    </row>
    <row r="22" spans="1:7" s="61" customFormat="1" ht="16.5">
      <c r="A22" s="60">
        <v>4</v>
      </c>
      <c r="B22" s="192" t="s">
        <v>80</v>
      </c>
      <c r="C22" s="192"/>
      <c r="D22" s="192"/>
      <c r="E22" s="60">
        <v>9</v>
      </c>
      <c r="F22" s="60"/>
      <c r="G22" s="60"/>
    </row>
    <row r="23" spans="1:7" s="61" customFormat="1" ht="16.5">
      <c r="A23" s="60">
        <v>5</v>
      </c>
      <c r="B23" s="193" t="s">
        <v>81</v>
      </c>
      <c r="C23" s="193"/>
      <c r="D23" s="193"/>
      <c r="E23" s="60">
        <v>9</v>
      </c>
      <c r="F23" s="60"/>
      <c r="G23" s="60"/>
    </row>
    <row r="24" spans="1:7">
      <c r="A24" s="65"/>
      <c r="B24" s="194" t="s">
        <v>74</v>
      </c>
      <c r="C24" s="194"/>
      <c r="D24" s="194"/>
      <c r="E24" s="66"/>
      <c r="F24" s="66"/>
      <c r="G24" s="65"/>
    </row>
    <row r="25" spans="1:7" ht="17.25" customHeight="1">
      <c r="B25" s="77"/>
      <c r="C25" s="77"/>
      <c r="D25" s="77"/>
      <c r="E25" s="77"/>
      <c r="F25" s="77"/>
    </row>
    <row r="26" spans="1:7" s="61" customFormat="1" ht="16.5">
      <c r="A26" s="67" t="s">
        <v>85</v>
      </c>
      <c r="E26" s="68"/>
      <c r="F26" s="68"/>
      <c r="G26" s="68"/>
    </row>
    <row r="27" spans="1:7" s="61" customFormat="1" ht="16.5">
      <c r="A27" s="69" t="s">
        <v>82</v>
      </c>
      <c r="E27" s="68"/>
      <c r="F27" s="68"/>
      <c r="G27" s="68"/>
    </row>
    <row r="28" spans="1:7" s="61" customFormat="1" ht="16.5">
      <c r="A28" s="69" t="s">
        <v>83</v>
      </c>
      <c r="E28" s="68"/>
      <c r="F28" s="68"/>
      <c r="G28" s="68"/>
    </row>
    <row r="29" spans="1:7" s="61" customFormat="1" ht="16.5">
      <c r="A29" s="69" t="s">
        <v>83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/>
      <c r="E31" s="68"/>
      <c r="F31" s="68"/>
      <c r="G31" s="68"/>
    </row>
    <row r="32" spans="1:7" s="61" customFormat="1" ht="16.5">
      <c r="A32" s="67" t="s">
        <v>86</v>
      </c>
      <c r="E32" s="68"/>
      <c r="F32" s="68"/>
      <c r="G32" s="68"/>
    </row>
    <row r="33" spans="1:7" s="61" customFormat="1" ht="16.5">
      <c r="A33" s="69" t="s">
        <v>82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E37" s="68"/>
      <c r="F37" s="68"/>
      <c r="G37" s="68"/>
    </row>
    <row r="38" spans="1:7" s="72" customFormat="1" ht="18.75" customHeight="1">
      <c r="A38" s="71"/>
      <c r="B38" s="71" t="s">
        <v>89</v>
      </c>
      <c r="C38" s="73" t="s">
        <v>90</v>
      </c>
      <c r="D38" s="173" t="s">
        <v>7</v>
      </c>
      <c r="E38" s="173"/>
      <c r="F38" s="173"/>
      <c r="G38" s="173"/>
    </row>
    <row r="39" spans="1:7" s="61" customFormat="1" ht="16.5">
      <c r="A39" s="68"/>
      <c r="B39" s="68" t="s">
        <v>199</v>
      </c>
      <c r="E39" s="68"/>
      <c r="F39" s="68"/>
      <c r="G39" s="68"/>
    </row>
    <row r="40" spans="1:7" s="61" customFormat="1" ht="16.5">
      <c r="A40" s="68"/>
      <c r="B40" s="68" t="s">
        <v>200</v>
      </c>
      <c r="E40" s="68"/>
      <c r="F40" s="68"/>
      <c r="G40" s="68"/>
    </row>
    <row r="41" spans="1:7" s="61" customFormat="1" ht="16.5">
      <c r="A41" s="68"/>
      <c r="E41" s="68"/>
      <c r="F41" s="68"/>
      <c r="G41" s="68"/>
    </row>
    <row r="42" spans="1:7" s="61" customFormat="1" ht="16.5">
      <c r="A42" s="68"/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</sheetData>
  <mergeCells count="9">
    <mergeCell ref="D38:G38"/>
    <mergeCell ref="B21:D21"/>
    <mergeCell ref="B22:D22"/>
    <mergeCell ref="A1:G1"/>
    <mergeCell ref="B18:D18"/>
    <mergeCell ref="B19:D19"/>
    <mergeCell ref="B20:D20"/>
    <mergeCell ref="B23:D23"/>
    <mergeCell ref="B24:D24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view="pageBreakPreview" topLeftCell="B1" zoomScale="115" zoomScaleNormal="89" zoomScaleSheetLayoutView="115" workbookViewId="0">
      <selection activeCell="E19" sqref="E19:E20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8" width="13" style="44" customWidth="1"/>
    <col min="9" max="16384" width="15.140625" style="43"/>
  </cols>
  <sheetData>
    <row r="1" spans="1:9" ht="44.25" customHeight="1">
      <c r="A1" s="172" t="s">
        <v>218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219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220</v>
      </c>
      <c r="C12" s="79" t="s">
        <v>220</v>
      </c>
      <c r="D12" s="79" t="s">
        <v>198</v>
      </c>
      <c r="E12" s="83">
        <v>1</v>
      </c>
      <c r="F12" s="79"/>
      <c r="G12" s="79"/>
      <c r="H12" s="78" t="s">
        <v>114</v>
      </c>
    </row>
    <row r="13" spans="1:9" s="50" customFormat="1" ht="16.5">
      <c r="A13" s="51">
        <v>3</v>
      </c>
      <c r="B13" s="79" t="s">
        <v>221</v>
      </c>
      <c r="C13" s="79" t="s">
        <v>221</v>
      </c>
      <c r="D13" s="79" t="s">
        <v>198</v>
      </c>
      <c r="E13" s="83">
        <v>1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v>1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00" t="s">
        <v>34</v>
      </c>
      <c r="B18" s="174" t="s">
        <v>71</v>
      </c>
      <c r="C18" s="174"/>
      <c r="D18" s="174"/>
      <c r="E18" s="100" t="s">
        <v>100</v>
      </c>
      <c r="F18" s="100" t="s">
        <v>102</v>
      </c>
      <c r="G18" s="100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190" t="s">
        <v>223</v>
      </c>
      <c r="F19" s="78" t="s">
        <v>204</v>
      </c>
      <c r="G19" s="78"/>
      <c r="H19" s="61"/>
    </row>
    <row r="20" spans="1:8">
      <c r="A20" s="60">
        <v>2</v>
      </c>
      <c r="B20" s="179" t="s">
        <v>222</v>
      </c>
      <c r="C20" s="179"/>
      <c r="D20" s="179"/>
      <c r="E20" s="191"/>
      <c r="F20" s="78"/>
      <c r="G20" s="78"/>
      <c r="H20" s="61"/>
    </row>
    <row r="21" spans="1:8" s="58" customFormat="1">
      <c r="A21" s="44"/>
      <c r="B21" s="77"/>
      <c r="C21" s="77"/>
      <c r="D21" s="77"/>
      <c r="E21" s="77"/>
      <c r="F21" s="77"/>
      <c r="G21" s="44"/>
      <c r="H21" s="43"/>
    </row>
    <row r="22" spans="1:8" s="61" customFormat="1" ht="16.5">
      <c r="A22" s="71"/>
      <c r="B22" s="71" t="s">
        <v>89</v>
      </c>
      <c r="C22" s="73" t="s">
        <v>90</v>
      </c>
      <c r="D22" s="173" t="s">
        <v>7</v>
      </c>
      <c r="E22" s="173"/>
      <c r="F22" s="173"/>
      <c r="G22" s="173"/>
      <c r="H22" s="72"/>
    </row>
    <row r="23" spans="1:8" s="61" customFormat="1" ht="16.5">
      <c r="A23" s="68"/>
      <c r="E23" s="68"/>
      <c r="F23" s="68"/>
      <c r="G23" s="68"/>
      <c r="H23" s="68"/>
    </row>
    <row r="24" spans="1:8" ht="17.25" customHeight="1">
      <c r="A24" s="68"/>
      <c r="B24" s="68" t="s">
        <v>199</v>
      </c>
      <c r="C24" s="61"/>
      <c r="D24" s="61"/>
      <c r="E24" s="68"/>
      <c r="F24" s="68"/>
      <c r="G24" s="68"/>
      <c r="H24" s="68"/>
    </row>
    <row r="25" spans="1:8" s="72" customFormat="1" ht="18.75" customHeight="1">
      <c r="A25" s="68"/>
      <c r="B25" s="68" t="s">
        <v>200</v>
      </c>
      <c r="C25" s="61"/>
      <c r="D25" s="61"/>
      <c r="E25" s="68"/>
      <c r="F25" s="68"/>
      <c r="G25" s="68"/>
      <c r="H25" s="68"/>
    </row>
    <row r="26" spans="1:8" s="61" customFormat="1" ht="16.5">
      <c r="A26" s="68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>
      <c r="A37" s="44"/>
      <c r="B37" s="43"/>
      <c r="C37" s="43"/>
      <c r="D37" s="43"/>
      <c r="E37" s="44"/>
      <c r="F37" s="44"/>
      <c r="G37" s="44"/>
      <c r="H37" s="44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</sheetData>
  <mergeCells count="6">
    <mergeCell ref="D22:G22"/>
    <mergeCell ref="A1:H1"/>
    <mergeCell ref="B18:D18"/>
    <mergeCell ref="B19:D19"/>
    <mergeCell ref="E19:E20"/>
    <mergeCell ref="B20:D20"/>
  </mergeCells>
  <pageMargins left="0.7" right="0.7" top="0.75" bottom="0.75" header="0.3" footer="0.3"/>
  <pageSetup paperSize="9" scale="8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E4" sqref="E4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224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225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220</v>
      </c>
      <c r="C12" s="79" t="s">
        <v>220</v>
      </c>
      <c r="D12" s="79" t="s">
        <v>198</v>
      </c>
      <c r="E12" s="83">
        <v>1</v>
      </c>
      <c r="F12" s="79"/>
      <c r="G12" s="79"/>
      <c r="H12" s="78" t="s">
        <v>114</v>
      </c>
    </row>
    <row r="13" spans="1:9" s="50" customFormat="1" ht="31.5">
      <c r="A13" s="51">
        <v>3</v>
      </c>
      <c r="B13" s="79" t="s">
        <v>222</v>
      </c>
      <c r="C13" s="79" t="s">
        <v>226</v>
      </c>
      <c r="D13" s="79" t="s">
        <v>227</v>
      </c>
      <c r="E13" s="83">
        <v>0.4</v>
      </c>
      <c r="F13" s="79"/>
      <c r="G13" s="81" t="s">
        <v>230</v>
      </c>
      <c r="H13" s="78" t="s">
        <v>114</v>
      </c>
    </row>
    <row r="14" spans="1:9" s="50" customFormat="1" ht="31.5">
      <c r="A14" s="51">
        <v>4</v>
      </c>
      <c r="B14" s="79" t="s">
        <v>228</v>
      </c>
      <c r="C14" s="79" t="s">
        <v>229</v>
      </c>
      <c r="D14" s="79" t="s">
        <v>198</v>
      </c>
      <c r="E14" s="83">
        <v>1</v>
      </c>
      <c r="F14" s="79"/>
      <c r="G14" s="81"/>
      <c r="H14" s="78" t="s">
        <v>114</v>
      </c>
    </row>
    <row r="15" spans="1:9" s="50" customFormat="1" ht="36" customHeight="1">
      <c r="A15" s="52"/>
      <c r="B15" s="49" t="s">
        <v>101</v>
      </c>
      <c r="C15" s="80"/>
      <c r="D15" s="52"/>
      <c r="E15" s="83">
        <v>0.85</v>
      </c>
      <c r="F15" s="53"/>
      <c r="G15" s="70"/>
      <c r="H15" s="70"/>
    </row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01" t="s">
        <v>34</v>
      </c>
      <c r="B19" s="174" t="s">
        <v>71</v>
      </c>
      <c r="C19" s="174"/>
      <c r="D19" s="174"/>
      <c r="E19" s="101" t="s">
        <v>100</v>
      </c>
      <c r="F19" s="101" t="s">
        <v>102</v>
      </c>
      <c r="G19" s="101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190" t="s">
        <v>233</v>
      </c>
      <c r="F20" s="78" t="s">
        <v>204</v>
      </c>
      <c r="G20" s="78"/>
      <c r="H20" s="61"/>
    </row>
    <row r="21" spans="1:8" ht="36" customHeight="1">
      <c r="A21" s="60">
        <v>2</v>
      </c>
      <c r="B21" s="179" t="s">
        <v>231</v>
      </c>
      <c r="C21" s="179"/>
      <c r="D21" s="179"/>
      <c r="E21" s="198"/>
      <c r="F21" s="78"/>
      <c r="G21" s="78"/>
      <c r="H21" s="61"/>
    </row>
    <row r="22" spans="1:8" s="58" customFormat="1" ht="20.25" customHeight="1">
      <c r="A22" s="105">
        <v>3</v>
      </c>
      <c r="B22" s="195" t="s">
        <v>232</v>
      </c>
      <c r="C22" s="196"/>
      <c r="D22" s="197"/>
      <c r="E22" s="191"/>
      <c r="F22" s="105"/>
      <c r="G22" s="105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A1:H1"/>
    <mergeCell ref="B19:D19"/>
    <mergeCell ref="B20:D20"/>
    <mergeCell ref="B21:D21"/>
    <mergeCell ref="D23:G23"/>
    <mergeCell ref="B22:D22"/>
    <mergeCell ref="E20:E22"/>
  </mergeCells>
  <pageMargins left="0.7" right="0.7" top="0.75" bottom="0.75" header="0.3" footer="0.3"/>
  <pageSetup paperSize="9" scale="7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topLeftCell="A13" zoomScale="115" zoomScaleNormal="89" zoomScaleSheetLayoutView="115" workbookViewId="0">
      <selection activeCell="C13" sqref="C13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234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239</v>
      </c>
      <c r="E5" s="48"/>
      <c r="F5" s="48"/>
      <c r="G5" s="48"/>
      <c r="H5" s="48"/>
    </row>
    <row r="6" spans="1:9" s="47" customFormat="1" ht="3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0.8</v>
      </c>
      <c r="F12" s="79"/>
      <c r="G12" s="79" t="s">
        <v>238</v>
      </c>
      <c r="H12" s="78" t="s">
        <v>114</v>
      </c>
    </row>
    <row r="13" spans="1:9" s="50" customFormat="1" ht="31.5">
      <c r="A13" s="51">
        <v>3</v>
      </c>
      <c r="B13" s="79" t="s">
        <v>235</v>
      </c>
      <c r="C13" s="79" t="s">
        <v>236</v>
      </c>
      <c r="D13" s="79" t="s">
        <v>227</v>
      </c>
      <c r="E13" s="83">
        <v>0.5</v>
      </c>
      <c r="F13" s="79"/>
      <c r="G13" s="81" t="s">
        <v>237</v>
      </c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f>AVERAGE(E11:E13)</f>
        <v>0.65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02" t="s">
        <v>34</v>
      </c>
      <c r="B19" s="174" t="s">
        <v>71</v>
      </c>
      <c r="C19" s="174"/>
      <c r="D19" s="174"/>
      <c r="E19" s="102" t="s">
        <v>100</v>
      </c>
      <c r="F19" s="102" t="s">
        <v>102</v>
      </c>
      <c r="G19" s="102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190" t="s">
        <v>240</v>
      </c>
      <c r="F20" s="78" t="s">
        <v>204</v>
      </c>
      <c r="G20" s="78"/>
      <c r="H20" s="61"/>
    </row>
    <row r="21" spans="1:8" ht="36" customHeight="1">
      <c r="A21" s="60">
        <v>2</v>
      </c>
      <c r="B21" s="179" t="s">
        <v>231</v>
      </c>
      <c r="C21" s="179"/>
      <c r="D21" s="179"/>
      <c r="E21" s="198"/>
      <c r="F21" s="78"/>
      <c r="G21" s="78"/>
      <c r="H21" s="61"/>
    </row>
    <row r="22" spans="1:8" s="58" customFormat="1" ht="20.25" customHeight="1">
      <c r="A22" s="105">
        <v>3</v>
      </c>
      <c r="B22" s="195" t="s">
        <v>232</v>
      </c>
      <c r="C22" s="196"/>
      <c r="D22" s="197"/>
      <c r="E22" s="191"/>
      <c r="F22" s="105"/>
      <c r="G22" s="105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D23:G23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zoomScale="89" zoomScaleNormal="89" workbookViewId="0">
      <selection activeCell="I15" sqref="I15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257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254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217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03" t="s">
        <v>110</v>
      </c>
      <c r="D11" s="79" t="s">
        <v>113</v>
      </c>
      <c r="E11" s="83">
        <v>1</v>
      </c>
      <c r="F11" s="81"/>
      <c r="G11" s="78" t="s">
        <v>114</v>
      </c>
    </row>
    <row r="12" spans="1:9" s="50" customFormat="1" ht="16.5">
      <c r="A12" s="49">
        <v>3</v>
      </c>
      <c r="B12" s="103" t="s">
        <v>241</v>
      </c>
      <c r="C12" s="103" t="s">
        <v>242</v>
      </c>
      <c r="D12" s="79" t="s">
        <v>113</v>
      </c>
      <c r="E12" s="83">
        <v>1</v>
      </c>
      <c r="F12" s="81"/>
      <c r="G12" s="78" t="s">
        <v>114</v>
      </c>
    </row>
    <row r="13" spans="1:9" s="50" customFormat="1" ht="16.5">
      <c r="A13" s="49">
        <v>4</v>
      </c>
      <c r="B13" s="103" t="s">
        <v>243</v>
      </c>
      <c r="C13" s="103" t="s">
        <v>244</v>
      </c>
      <c r="D13" s="79" t="s">
        <v>172</v>
      </c>
      <c r="E13" s="83">
        <v>0.8</v>
      </c>
      <c r="F13" s="81"/>
      <c r="G13" s="78" t="s">
        <v>245</v>
      </c>
    </row>
    <row r="14" spans="1:9" s="54" customFormat="1" ht="15.75">
      <c r="A14" s="52"/>
      <c r="B14" s="49" t="s">
        <v>74</v>
      </c>
      <c r="C14" s="52"/>
      <c r="D14" s="52"/>
      <c r="E14" s="53">
        <f>AVERAGE(E11:E13)</f>
        <v>0.93333333333333324</v>
      </c>
      <c r="F14" s="53"/>
      <c r="G14" s="70"/>
    </row>
    <row r="15" spans="1:9" s="54" customFormat="1" ht="15.75">
      <c r="A15" s="55"/>
      <c r="B15" s="74"/>
      <c r="C15" s="74"/>
      <c r="D15" s="74"/>
      <c r="E15" s="75"/>
      <c r="F15" s="75"/>
      <c r="G15" s="76"/>
    </row>
    <row r="16" spans="1:9" s="58" customFormat="1" ht="15.75">
      <c r="A16" s="55" t="s">
        <v>75</v>
      </c>
      <c r="B16" s="56" t="s">
        <v>76</v>
      </c>
      <c r="E16" s="57"/>
      <c r="F16" s="57"/>
      <c r="G16" s="57"/>
    </row>
    <row r="18" spans="1:7" s="58" customFormat="1" ht="47.25">
      <c r="A18" s="102" t="s">
        <v>6</v>
      </c>
      <c r="B18" s="174" t="s">
        <v>71</v>
      </c>
      <c r="C18" s="174"/>
      <c r="D18" s="174"/>
      <c r="E18" s="102" t="s">
        <v>92</v>
      </c>
      <c r="F18" s="102" t="s">
        <v>87</v>
      </c>
      <c r="G18" s="102" t="s">
        <v>70</v>
      </c>
    </row>
    <row r="19" spans="1:7" s="61" customFormat="1" ht="16.5">
      <c r="A19" s="107">
        <v>1</v>
      </c>
      <c r="B19" s="193" t="s">
        <v>77</v>
      </c>
      <c r="C19" s="193"/>
      <c r="D19" s="193"/>
      <c r="E19" s="60">
        <v>9</v>
      </c>
      <c r="F19" s="60"/>
      <c r="G19" s="60"/>
    </row>
    <row r="20" spans="1:7" s="61" customFormat="1" ht="16.5">
      <c r="A20" s="107">
        <v>2</v>
      </c>
      <c r="B20" s="193" t="s">
        <v>78</v>
      </c>
      <c r="C20" s="193"/>
      <c r="D20" s="193"/>
      <c r="E20" s="60">
        <v>9</v>
      </c>
      <c r="F20" s="60"/>
      <c r="G20" s="60"/>
    </row>
    <row r="21" spans="1:7" s="61" customFormat="1" ht="16.5">
      <c r="A21" s="107">
        <v>3</v>
      </c>
      <c r="B21" s="192" t="s">
        <v>79</v>
      </c>
      <c r="C21" s="192"/>
      <c r="D21" s="192"/>
      <c r="E21" s="60">
        <v>7</v>
      </c>
      <c r="F21" s="60"/>
      <c r="G21" s="60"/>
    </row>
    <row r="22" spans="1:7" s="61" customFormat="1" ht="16.5">
      <c r="A22" s="107">
        <v>4</v>
      </c>
      <c r="B22" s="192" t="s">
        <v>80</v>
      </c>
      <c r="C22" s="192"/>
      <c r="D22" s="192"/>
      <c r="E22" s="60">
        <v>9</v>
      </c>
      <c r="F22" s="60"/>
      <c r="G22" s="60"/>
    </row>
    <row r="23" spans="1:7" s="61" customFormat="1" ht="16.5">
      <c r="A23" s="107">
        <v>5</v>
      </c>
      <c r="B23" s="193" t="s">
        <v>81</v>
      </c>
      <c r="C23" s="193"/>
      <c r="D23" s="193"/>
      <c r="E23" s="60">
        <v>9</v>
      </c>
      <c r="F23" s="60"/>
      <c r="G23" s="60"/>
    </row>
    <row r="24" spans="1:7">
      <c r="A24" s="65"/>
      <c r="B24" s="194" t="s">
        <v>74</v>
      </c>
      <c r="C24" s="194"/>
      <c r="D24" s="194"/>
      <c r="E24" s="104"/>
      <c r="F24" s="104"/>
      <c r="G24" s="65"/>
    </row>
    <row r="25" spans="1:7" ht="17.25" customHeight="1">
      <c r="B25" s="77"/>
      <c r="C25" s="77"/>
      <c r="D25" s="77"/>
      <c r="E25" s="77"/>
      <c r="F25" s="77"/>
    </row>
    <row r="26" spans="1:7" s="61" customFormat="1" ht="16.5">
      <c r="A26" s="67" t="s">
        <v>85</v>
      </c>
      <c r="E26" s="68"/>
      <c r="F26" s="68"/>
      <c r="G26" s="68"/>
    </row>
    <row r="27" spans="1:7" s="61" customFormat="1" ht="16.5">
      <c r="A27" s="69" t="s">
        <v>82</v>
      </c>
      <c r="E27" s="68"/>
      <c r="F27" s="68"/>
      <c r="G27" s="68"/>
    </row>
    <row r="28" spans="1:7" s="61" customFormat="1" ht="16.5">
      <c r="A28" s="69" t="s">
        <v>83</v>
      </c>
      <c r="E28" s="68"/>
      <c r="F28" s="68"/>
      <c r="G28" s="68"/>
    </row>
    <row r="29" spans="1:7" s="61" customFormat="1" ht="16.5">
      <c r="A29" s="69" t="s">
        <v>83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/>
      <c r="E31" s="68"/>
      <c r="F31" s="68"/>
      <c r="G31" s="68"/>
    </row>
    <row r="32" spans="1:7" s="61" customFormat="1" ht="16.5">
      <c r="A32" s="67" t="s">
        <v>86</v>
      </c>
      <c r="E32" s="68"/>
      <c r="F32" s="68"/>
      <c r="G32" s="68"/>
    </row>
    <row r="33" spans="1:7" s="61" customFormat="1" ht="16.5">
      <c r="A33" s="69" t="s">
        <v>82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E37" s="68"/>
      <c r="F37" s="68"/>
      <c r="G37" s="68"/>
    </row>
    <row r="38" spans="1:7" s="72" customFormat="1" ht="18.75" customHeight="1">
      <c r="A38" s="71"/>
      <c r="B38" s="71" t="s">
        <v>89</v>
      </c>
      <c r="C38" s="73" t="s">
        <v>90</v>
      </c>
      <c r="D38" s="173" t="s">
        <v>7</v>
      </c>
      <c r="E38" s="173"/>
      <c r="F38" s="173"/>
      <c r="G38" s="173"/>
    </row>
    <row r="39" spans="1:7" s="61" customFormat="1" ht="16.5">
      <c r="A39" s="68"/>
      <c r="B39" s="68" t="s">
        <v>199</v>
      </c>
      <c r="E39" s="68"/>
      <c r="F39" s="68"/>
      <c r="G39" s="68"/>
    </row>
    <row r="40" spans="1:7" s="61" customFormat="1" ht="16.5">
      <c r="A40" s="68"/>
      <c r="B40" s="68" t="s">
        <v>200</v>
      </c>
      <c r="E40" s="68"/>
      <c r="F40" s="68"/>
      <c r="G40" s="68"/>
    </row>
    <row r="41" spans="1:7" s="61" customFormat="1" ht="16.5">
      <c r="A41" s="68"/>
      <c r="E41" s="68"/>
      <c r="F41" s="68"/>
      <c r="G41" s="68"/>
    </row>
    <row r="42" spans="1:7" s="61" customFormat="1" ht="16.5">
      <c r="A42" s="68"/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</sheetData>
  <mergeCells count="9">
    <mergeCell ref="B23:D23"/>
    <mergeCell ref="B24:D24"/>
    <mergeCell ref="D38:G38"/>
    <mergeCell ref="A1:G1"/>
    <mergeCell ref="B18:D18"/>
    <mergeCell ref="B19:D19"/>
    <mergeCell ref="B20:D20"/>
    <mergeCell ref="B21:D21"/>
    <mergeCell ref="B22:D22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topLeftCell="A10" zoomScale="115" zoomScaleNormal="89" zoomScaleSheetLayoutView="115" workbookViewId="0">
      <selection activeCell="F15" sqref="F15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246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247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0.3</v>
      </c>
      <c r="F12" s="79"/>
      <c r="G12" s="79"/>
      <c r="H12" s="78" t="s">
        <v>114</v>
      </c>
    </row>
    <row r="13" spans="1:9" s="50" customFormat="1" ht="31.5">
      <c r="A13" s="51">
        <v>3</v>
      </c>
      <c r="B13" s="79" t="s">
        <v>235</v>
      </c>
      <c r="C13" s="79" t="s">
        <v>236</v>
      </c>
      <c r="D13" s="79" t="s">
        <v>227</v>
      </c>
      <c r="E13" s="83">
        <v>0.9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f>AVERAGE(E11:E13)</f>
        <v>0.6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06" t="s">
        <v>34</v>
      </c>
      <c r="B19" s="174" t="s">
        <v>71</v>
      </c>
      <c r="C19" s="174"/>
      <c r="D19" s="174"/>
      <c r="E19" s="106" t="s">
        <v>100</v>
      </c>
      <c r="F19" s="106" t="s">
        <v>102</v>
      </c>
      <c r="G19" s="106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190" t="s">
        <v>248</v>
      </c>
      <c r="F20" s="78" t="s">
        <v>204</v>
      </c>
      <c r="G20" s="78"/>
      <c r="H20" s="61"/>
    </row>
    <row r="21" spans="1:8" ht="36" customHeight="1">
      <c r="A21" s="60">
        <v>2</v>
      </c>
      <c r="B21" s="179" t="s">
        <v>231</v>
      </c>
      <c r="C21" s="179"/>
      <c r="D21" s="179"/>
      <c r="E21" s="198"/>
      <c r="F21" s="78"/>
      <c r="G21" s="78"/>
      <c r="H21" s="61"/>
    </row>
    <row r="22" spans="1:8" s="58" customFormat="1" ht="20.25" customHeight="1">
      <c r="A22" s="105">
        <v>3</v>
      </c>
      <c r="B22" s="195" t="s">
        <v>232</v>
      </c>
      <c r="C22" s="196"/>
      <c r="D22" s="197"/>
      <c r="E22" s="191"/>
      <c r="F22" s="105"/>
      <c r="G22" s="105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D23:G23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E4" sqref="E4"/>
    </sheetView>
  </sheetViews>
  <sheetFormatPr defaultColWidth="15.140625" defaultRowHeight="18.75"/>
  <cols>
    <col min="1" max="1" width="5.85546875" style="44" bestFit="1" customWidth="1"/>
    <col min="2" max="2" width="28.140625" style="43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249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250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0.4</v>
      </c>
      <c r="F12" s="79"/>
      <c r="G12" s="79"/>
      <c r="H12" s="78" t="s">
        <v>114</v>
      </c>
    </row>
    <row r="13" spans="1:9" s="50" customFormat="1" ht="31.5">
      <c r="A13" s="51">
        <v>3</v>
      </c>
      <c r="B13" s="79" t="s">
        <v>235</v>
      </c>
      <c r="C13" s="79" t="s">
        <v>236</v>
      </c>
      <c r="D13" s="79" t="s">
        <v>198</v>
      </c>
      <c r="E13" s="83">
        <v>1</v>
      </c>
      <c r="F13" s="79"/>
      <c r="G13" s="81"/>
      <c r="H13" s="78" t="s">
        <v>114</v>
      </c>
    </row>
    <row r="14" spans="1:9" s="50" customFormat="1" ht="31.5">
      <c r="A14" s="52"/>
      <c r="B14" s="49" t="s">
        <v>101</v>
      </c>
      <c r="C14" s="80"/>
      <c r="D14" s="52"/>
      <c r="E14" s="83">
        <f>AVERAGE(E11:E13)</f>
        <v>0.7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08" t="s">
        <v>34</v>
      </c>
      <c r="B19" s="174" t="s">
        <v>71</v>
      </c>
      <c r="C19" s="174"/>
      <c r="D19" s="174"/>
      <c r="E19" s="108" t="s">
        <v>100</v>
      </c>
      <c r="F19" s="108" t="s">
        <v>102</v>
      </c>
      <c r="G19" s="108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190" t="s">
        <v>251</v>
      </c>
      <c r="F20" s="78" t="s">
        <v>204</v>
      </c>
      <c r="G20" s="78"/>
      <c r="H20" s="61"/>
    </row>
    <row r="21" spans="1:8" ht="36" customHeight="1">
      <c r="A21" s="60">
        <v>2</v>
      </c>
      <c r="B21" s="179" t="s">
        <v>231</v>
      </c>
      <c r="C21" s="179"/>
      <c r="D21" s="179"/>
      <c r="E21" s="198"/>
      <c r="F21" s="78"/>
      <c r="G21" s="78"/>
      <c r="H21" s="61"/>
    </row>
    <row r="22" spans="1:8" s="58" customFormat="1" ht="20.25" customHeight="1">
      <c r="A22" s="105">
        <v>3</v>
      </c>
      <c r="B22" s="195" t="s">
        <v>232</v>
      </c>
      <c r="C22" s="196"/>
      <c r="D22" s="197"/>
      <c r="E22" s="191"/>
      <c r="F22" s="105"/>
      <c r="G22" s="105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D23:G23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E4" sqref="E4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253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254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0.8</v>
      </c>
      <c r="F12" s="79"/>
      <c r="G12" s="79"/>
      <c r="H12" s="78" t="s">
        <v>114</v>
      </c>
    </row>
    <row r="13" spans="1:9" s="50" customFormat="1" ht="15.75">
      <c r="A13" s="52"/>
      <c r="B13" s="49" t="s">
        <v>101</v>
      </c>
      <c r="C13" s="80"/>
      <c r="D13" s="52"/>
      <c r="E13" s="83">
        <f>AVERAGE(E11:E12)</f>
        <v>0.8</v>
      </c>
      <c r="F13" s="53"/>
      <c r="G13" s="70"/>
      <c r="H13" s="70"/>
    </row>
    <row r="14" spans="1:9" s="50" customFormat="1" ht="36" customHeight="1"/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09" t="s">
        <v>34</v>
      </c>
      <c r="B18" s="174" t="s">
        <v>71</v>
      </c>
      <c r="C18" s="174"/>
      <c r="D18" s="174"/>
      <c r="E18" s="109" t="s">
        <v>100</v>
      </c>
      <c r="F18" s="109" t="s">
        <v>102</v>
      </c>
      <c r="G18" s="109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190" t="s">
        <v>256</v>
      </c>
      <c r="F19" s="78" t="s">
        <v>252</v>
      </c>
      <c r="G19" s="78"/>
      <c r="H19" s="61"/>
    </row>
    <row r="20" spans="1:8" s="58" customFormat="1" ht="16.5">
      <c r="A20" s="60">
        <v>2</v>
      </c>
      <c r="B20" s="181" t="s">
        <v>255</v>
      </c>
      <c r="C20" s="182"/>
      <c r="D20" s="183"/>
      <c r="E20" s="198"/>
      <c r="F20" s="78"/>
      <c r="G20" s="78"/>
      <c r="H20" s="61"/>
    </row>
    <row r="21" spans="1:8">
      <c r="A21" s="60">
        <v>2</v>
      </c>
      <c r="B21" s="199" t="s">
        <v>231</v>
      </c>
      <c r="C21" s="199"/>
      <c r="D21" s="199"/>
      <c r="E21" s="198"/>
      <c r="F21" s="78"/>
      <c r="G21" s="78"/>
      <c r="H21" s="61"/>
    </row>
    <row r="22" spans="1:8" s="58" customFormat="1" ht="20.25" customHeight="1">
      <c r="A22" s="105">
        <v>3</v>
      </c>
      <c r="B22" s="195" t="s">
        <v>232</v>
      </c>
      <c r="C22" s="196"/>
      <c r="D22" s="197"/>
      <c r="E22" s="191"/>
      <c r="F22" s="105"/>
      <c r="G22" s="105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8">
    <mergeCell ref="D23:G23"/>
    <mergeCell ref="A1:H1"/>
    <mergeCell ref="B18:D18"/>
    <mergeCell ref="B19:D19"/>
    <mergeCell ref="E19:E22"/>
    <mergeCell ref="B21:D21"/>
    <mergeCell ref="B22:D22"/>
    <mergeCell ref="B20:D20"/>
  </mergeCells>
  <pageMargins left="0.7" right="0.7" top="0.75" bottom="0.75" header="0.3" footer="0.3"/>
  <pageSetup paperSize="9" scale="7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zoomScale="89" zoomScaleNormal="89" workbookViewId="0">
      <selection activeCell="B18" sqref="B18:D18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257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254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217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11" t="s">
        <v>110</v>
      </c>
      <c r="D11" s="79" t="s">
        <v>113</v>
      </c>
      <c r="E11" s="83">
        <v>1</v>
      </c>
      <c r="F11" s="81"/>
      <c r="G11" s="78" t="s">
        <v>114</v>
      </c>
    </row>
    <row r="12" spans="1:9" s="50" customFormat="1" ht="16.5">
      <c r="A12" s="49">
        <v>3</v>
      </c>
      <c r="B12" s="111" t="s">
        <v>241</v>
      </c>
      <c r="C12" s="111" t="s">
        <v>242</v>
      </c>
      <c r="D12" s="79" t="s">
        <v>113</v>
      </c>
      <c r="E12" s="83">
        <v>1</v>
      </c>
      <c r="F12" s="81"/>
      <c r="G12" s="78" t="s">
        <v>114</v>
      </c>
    </row>
    <row r="13" spans="1:9" s="50" customFormat="1" ht="16.5">
      <c r="A13" s="49">
        <v>4</v>
      </c>
      <c r="B13" s="111" t="s">
        <v>243</v>
      </c>
      <c r="C13" s="111" t="s">
        <v>244</v>
      </c>
      <c r="D13" s="79" t="s">
        <v>172</v>
      </c>
      <c r="E13" s="83">
        <v>0.8</v>
      </c>
      <c r="F13" s="81"/>
      <c r="G13" s="78" t="s">
        <v>245</v>
      </c>
    </row>
    <row r="14" spans="1:9" s="54" customFormat="1" ht="15.75">
      <c r="A14" s="52"/>
      <c r="B14" s="49" t="s">
        <v>74</v>
      </c>
      <c r="C14" s="52"/>
      <c r="D14" s="52"/>
      <c r="E14" s="53">
        <f>AVERAGE(E11:E13)</f>
        <v>0.93333333333333324</v>
      </c>
      <c r="F14" s="53"/>
      <c r="G14" s="70"/>
    </row>
    <row r="15" spans="1:9" s="54" customFormat="1" ht="15.75">
      <c r="A15" s="55"/>
      <c r="B15" s="74"/>
      <c r="C15" s="74"/>
      <c r="D15" s="74"/>
      <c r="E15" s="75"/>
      <c r="F15" s="75"/>
      <c r="G15" s="76"/>
    </row>
    <row r="16" spans="1:9" s="58" customFormat="1" ht="15.75">
      <c r="A16" s="55" t="s">
        <v>75</v>
      </c>
      <c r="B16" s="56" t="s">
        <v>76</v>
      </c>
      <c r="E16" s="57"/>
      <c r="F16" s="57"/>
      <c r="G16" s="57"/>
    </row>
    <row r="18" spans="1:7" s="58" customFormat="1" ht="47.25">
      <c r="A18" s="110" t="s">
        <v>6</v>
      </c>
      <c r="B18" s="174" t="s">
        <v>71</v>
      </c>
      <c r="C18" s="174"/>
      <c r="D18" s="174"/>
      <c r="E18" s="110" t="s">
        <v>92</v>
      </c>
      <c r="F18" s="110" t="s">
        <v>87</v>
      </c>
      <c r="G18" s="110" t="s">
        <v>70</v>
      </c>
    </row>
    <row r="19" spans="1:7" s="61" customFormat="1" ht="16.5">
      <c r="A19" s="107">
        <v>1</v>
      </c>
      <c r="B19" s="193" t="s">
        <v>77</v>
      </c>
      <c r="C19" s="193"/>
      <c r="D19" s="193"/>
      <c r="E19" s="60">
        <v>9</v>
      </c>
      <c r="F19" s="60"/>
      <c r="G19" s="60"/>
    </row>
    <row r="20" spans="1:7" s="61" customFormat="1" ht="16.5">
      <c r="A20" s="107">
        <v>2</v>
      </c>
      <c r="B20" s="193" t="s">
        <v>78</v>
      </c>
      <c r="C20" s="193"/>
      <c r="D20" s="193"/>
      <c r="E20" s="60">
        <v>9</v>
      </c>
      <c r="F20" s="60"/>
      <c r="G20" s="60"/>
    </row>
    <row r="21" spans="1:7" s="61" customFormat="1" ht="16.5">
      <c r="A21" s="107">
        <v>3</v>
      </c>
      <c r="B21" s="192" t="s">
        <v>79</v>
      </c>
      <c r="C21" s="192"/>
      <c r="D21" s="192"/>
      <c r="E21" s="60">
        <v>7</v>
      </c>
      <c r="F21" s="60"/>
      <c r="G21" s="60"/>
    </row>
    <row r="22" spans="1:7" s="61" customFormat="1" ht="16.5">
      <c r="A22" s="107">
        <v>4</v>
      </c>
      <c r="B22" s="192" t="s">
        <v>80</v>
      </c>
      <c r="C22" s="192"/>
      <c r="D22" s="192"/>
      <c r="E22" s="60">
        <v>9</v>
      </c>
      <c r="F22" s="60"/>
      <c r="G22" s="60"/>
    </row>
    <row r="23" spans="1:7" s="61" customFormat="1" ht="16.5">
      <c r="A23" s="107">
        <v>5</v>
      </c>
      <c r="B23" s="193" t="s">
        <v>81</v>
      </c>
      <c r="C23" s="193"/>
      <c r="D23" s="193"/>
      <c r="E23" s="60">
        <v>9</v>
      </c>
      <c r="F23" s="60"/>
      <c r="G23" s="60"/>
    </row>
    <row r="24" spans="1:7">
      <c r="A24" s="65"/>
      <c r="B24" s="194" t="s">
        <v>74</v>
      </c>
      <c r="C24" s="194"/>
      <c r="D24" s="194"/>
      <c r="E24" s="112"/>
      <c r="F24" s="112"/>
      <c r="G24" s="65"/>
    </row>
    <row r="25" spans="1:7" ht="17.25" customHeight="1">
      <c r="B25" s="77"/>
      <c r="C25" s="77"/>
      <c r="D25" s="77"/>
      <c r="E25" s="77"/>
      <c r="F25" s="77"/>
    </row>
    <row r="26" spans="1:7" s="61" customFormat="1" ht="16.5">
      <c r="A26" s="67" t="s">
        <v>85</v>
      </c>
      <c r="E26" s="68"/>
      <c r="F26" s="68"/>
      <c r="G26" s="68"/>
    </row>
    <row r="27" spans="1:7" s="61" customFormat="1" ht="16.5">
      <c r="A27" s="69" t="s">
        <v>82</v>
      </c>
      <c r="E27" s="68"/>
      <c r="F27" s="68"/>
      <c r="G27" s="68"/>
    </row>
    <row r="28" spans="1:7" s="61" customFormat="1" ht="16.5">
      <c r="A28" s="69" t="s">
        <v>83</v>
      </c>
      <c r="E28" s="68"/>
      <c r="F28" s="68"/>
      <c r="G28" s="68"/>
    </row>
    <row r="29" spans="1:7" s="61" customFormat="1" ht="16.5">
      <c r="A29" s="69" t="s">
        <v>83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/>
      <c r="E31" s="68"/>
      <c r="F31" s="68"/>
      <c r="G31" s="68"/>
    </row>
    <row r="32" spans="1:7" s="61" customFormat="1" ht="16.5">
      <c r="A32" s="67" t="s">
        <v>86</v>
      </c>
      <c r="E32" s="68"/>
      <c r="F32" s="68"/>
      <c r="G32" s="68"/>
    </row>
    <row r="33" spans="1:7" s="61" customFormat="1" ht="16.5">
      <c r="A33" s="69" t="s">
        <v>82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E37" s="68"/>
      <c r="F37" s="68"/>
      <c r="G37" s="68"/>
    </row>
    <row r="38" spans="1:7" s="72" customFormat="1" ht="18.75" customHeight="1">
      <c r="A38" s="71"/>
      <c r="B38" s="71" t="s">
        <v>89</v>
      </c>
      <c r="C38" s="73" t="s">
        <v>90</v>
      </c>
      <c r="D38" s="173" t="s">
        <v>7</v>
      </c>
      <c r="E38" s="173"/>
      <c r="F38" s="173"/>
      <c r="G38" s="173"/>
    </row>
    <row r="39" spans="1:7" s="61" customFormat="1" ht="16.5">
      <c r="A39" s="68"/>
      <c r="B39" s="68" t="s">
        <v>199</v>
      </c>
      <c r="E39" s="68"/>
      <c r="F39" s="68"/>
      <c r="G39" s="68"/>
    </row>
    <row r="40" spans="1:7" s="61" customFormat="1" ht="16.5">
      <c r="A40" s="68"/>
      <c r="B40" s="68" t="s">
        <v>200</v>
      </c>
      <c r="E40" s="68"/>
      <c r="F40" s="68"/>
      <c r="G40" s="68"/>
    </row>
    <row r="41" spans="1:7" s="61" customFormat="1" ht="16.5">
      <c r="A41" s="68"/>
      <c r="E41" s="68"/>
      <c r="F41" s="68"/>
      <c r="G41" s="68"/>
    </row>
    <row r="42" spans="1:7" s="61" customFormat="1" ht="16.5">
      <c r="A42" s="68"/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</sheetData>
  <mergeCells count="9">
    <mergeCell ref="B23:D23"/>
    <mergeCell ref="B24:D24"/>
    <mergeCell ref="D38:G38"/>
    <mergeCell ref="A1:G1"/>
    <mergeCell ref="B18:D18"/>
    <mergeCell ref="B19:D19"/>
    <mergeCell ref="B20:D20"/>
    <mergeCell ref="B21:D21"/>
    <mergeCell ref="B22:D22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B5" sqref="B5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258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259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78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0.9</v>
      </c>
      <c r="F12" s="79"/>
      <c r="G12" s="79"/>
      <c r="H12" s="78" t="s">
        <v>114</v>
      </c>
    </row>
    <row r="13" spans="1:9" s="50" customFormat="1" ht="15.75">
      <c r="A13" s="52"/>
      <c r="B13" s="49" t="s">
        <v>101</v>
      </c>
      <c r="C13" s="80"/>
      <c r="D13" s="52"/>
      <c r="E13" s="83">
        <f>AVERAGE(E11:E12)</f>
        <v>0.9</v>
      </c>
      <c r="F13" s="53"/>
      <c r="G13" s="70"/>
      <c r="H13" s="70"/>
    </row>
    <row r="14" spans="1:9" s="50" customFormat="1" ht="36" customHeight="1"/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10" t="s">
        <v>34</v>
      </c>
      <c r="B18" s="174" t="s">
        <v>71</v>
      </c>
      <c r="C18" s="174"/>
      <c r="D18" s="174"/>
      <c r="E18" s="110" t="s">
        <v>100</v>
      </c>
      <c r="F18" s="110" t="s">
        <v>102</v>
      </c>
      <c r="G18" s="110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200" t="s">
        <v>260</v>
      </c>
      <c r="F19" s="78" t="s">
        <v>252</v>
      </c>
      <c r="G19" s="78"/>
      <c r="H19" s="61"/>
    </row>
    <row r="20" spans="1:8" s="58" customFormat="1" ht="16.5">
      <c r="A20" s="60">
        <v>2</v>
      </c>
      <c r="B20" s="201" t="s">
        <v>255</v>
      </c>
      <c r="C20" s="201"/>
      <c r="D20" s="201"/>
      <c r="E20" s="200"/>
      <c r="F20" s="78"/>
      <c r="G20" s="78"/>
      <c r="H20" s="61"/>
    </row>
    <row r="21" spans="1:8">
      <c r="A21" s="105">
        <v>3</v>
      </c>
      <c r="B21" s="202" t="s">
        <v>232</v>
      </c>
      <c r="C21" s="203"/>
      <c r="D21" s="203"/>
      <c r="E21" s="200"/>
      <c r="F21" s="78"/>
      <c r="G21" s="78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D23:G23"/>
    <mergeCell ref="E19:E21"/>
    <mergeCell ref="A1:H1"/>
    <mergeCell ref="B18:D18"/>
    <mergeCell ref="B19:D19"/>
    <mergeCell ref="B20:D20"/>
    <mergeCell ref="B21:D21"/>
  </mergeCells>
  <pageMargins left="0.7" right="0.7" top="0.75" bottom="0.75" header="0.3" footer="0.3"/>
  <pageSetup paperSize="9" scale="7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Normal="89" zoomScaleSheetLayoutView="100" workbookViewId="0">
      <selection activeCell="E14" sqref="E14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261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262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17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0.9</v>
      </c>
      <c r="F12" s="79"/>
      <c r="G12" s="79"/>
      <c r="H12" s="117" t="s">
        <v>114</v>
      </c>
    </row>
    <row r="13" spans="1:9" s="50" customFormat="1" ht="16.5">
      <c r="A13" s="51">
        <v>3</v>
      </c>
      <c r="B13" s="79" t="s">
        <v>263</v>
      </c>
      <c r="C13" s="79" t="s">
        <v>263</v>
      </c>
      <c r="D13" s="79" t="s">
        <v>227</v>
      </c>
      <c r="E13" s="83">
        <v>0.5</v>
      </c>
      <c r="F13" s="79"/>
      <c r="G13" s="79"/>
      <c r="H13" s="117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0.7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13" t="s">
        <v>34</v>
      </c>
      <c r="B19" s="174" t="s">
        <v>71</v>
      </c>
      <c r="C19" s="174"/>
      <c r="D19" s="174"/>
      <c r="E19" s="113" t="s">
        <v>100</v>
      </c>
      <c r="F19" s="113" t="s">
        <v>102</v>
      </c>
      <c r="G19" s="113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264</v>
      </c>
      <c r="F20" s="117" t="s">
        <v>252</v>
      </c>
      <c r="G20" s="117"/>
      <c r="H20" s="61"/>
    </row>
    <row r="21" spans="1:8" s="58" customFormat="1" ht="16.5">
      <c r="A21" s="60">
        <v>2</v>
      </c>
      <c r="B21" s="201" t="s">
        <v>255</v>
      </c>
      <c r="C21" s="201"/>
      <c r="D21" s="201"/>
      <c r="E21" s="200"/>
      <c r="F21" s="117"/>
      <c r="G21" s="117"/>
      <c r="H21" s="61"/>
    </row>
    <row r="22" spans="1:8">
      <c r="A22" s="105">
        <v>3</v>
      </c>
      <c r="B22" s="202" t="s">
        <v>232</v>
      </c>
      <c r="C22" s="203"/>
      <c r="D22" s="203"/>
      <c r="E22" s="200"/>
      <c r="F22" s="117"/>
      <c r="G22" s="117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Normal="89" zoomScaleSheetLayoutView="100" workbookViewId="0">
      <selection activeCell="F28" sqref="F28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265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266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19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227</v>
      </c>
      <c r="E12" s="83">
        <v>1</v>
      </c>
      <c r="F12" s="79"/>
      <c r="G12" s="79"/>
      <c r="H12" s="119" t="s">
        <v>114</v>
      </c>
    </row>
    <row r="13" spans="1:9" s="50" customFormat="1" ht="16.5">
      <c r="A13" s="51">
        <v>3</v>
      </c>
      <c r="B13" s="79" t="s">
        <v>263</v>
      </c>
      <c r="C13" s="79" t="s">
        <v>263</v>
      </c>
      <c r="D13" s="79" t="s">
        <v>227</v>
      </c>
      <c r="E13" s="83">
        <v>0.9</v>
      </c>
      <c r="F13" s="79"/>
      <c r="G13" s="79"/>
      <c r="H13" s="119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0.95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18" t="s">
        <v>34</v>
      </c>
      <c r="B19" s="174" t="s">
        <v>71</v>
      </c>
      <c r="C19" s="174"/>
      <c r="D19" s="174"/>
      <c r="E19" s="118" t="s">
        <v>100</v>
      </c>
      <c r="F19" s="118" t="s">
        <v>102</v>
      </c>
      <c r="G19" s="118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268</v>
      </c>
      <c r="F20" s="119" t="s">
        <v>252</v>
      </c>
      <c r="G20" s="119"/>
      <c r="H20" s="61"/>
    </row>
    <row r="21" spans="1:8" s="58" customFormat="1" ht="16.5">
      <c r="A21" s="60">
        <v>2</v>
      </c>
      <c r="B21" s="201" t="s">
        <v>267</v>
      </c>
      <c r="C21" s="201"/>
      <c r="D21" s="201"/>
      <c r="E21" s="200"/>
      <c r="F21" s="119"/>
      <c r="G21" s="119"/>
      <c r="H21" s="61"/>
    </row>
    <row r="22" spans="1:8">
      <c r="A22" s="105">
        <v>3</v>
      </c>
      <c r="B22" s="202" t="s">
        <v>232</v>
      </c>
      <c r="C22" s="203"/>
      <c r="D22" s="203"/>
      <c r="E22" s="200"/>
      <c r="F22" s="119"/>
      <c r="G22" s="119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zoomScaleNormal="89" zoomScaleSheetLayoutView="100" workbookViewId="0">
      <selection activeCell="F13" sqref="F13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269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270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23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198</v>
      </c>
      <c r="E12" s="83">
        <v>0.9</v>
      </c>
      <c r="F12" s="79"/>
      <c r="G12" s="79"/>
      <c r="H12" s="123" t="s">
        <v>114</v>
      </c>
    </row>
    <row r="13" spans="1:9" s="50" customFormat="1" ht="16.5">
      <c r="A13" s="51">
        <v>3</v>
      </c>
      <c r="B13" s="79" t="s">
        <v>263</v>
      </c>
      <c r="C13" s="79" t="s">
        <v>263</v>
      </c>
      <c r="D13" s="79" t="s">
        <v>198</v>
      </c>
      <c r="E13" s="83">
        <v>1</v>
      </c>
      <c r="F13" s="79"/>
      <c r="G13" s="79"/>
      <c r="H13" s="123" t="s">
        <v>114</v>
      </c>
    </row>
    <row r="14" spans="1:9" s="50" customFormat="1" ht="16.5">
      <c r="A14" s="51">
        <v>4</v>
      </c>
      <c r="B14" s="79" t="s">
        <v>271</v>
      </c>
      <c r="C14" s="79" t="s">
        <v>271</v>
      </c>
      <c r="D14" s="79" t="s">
        <v>172</v>
      </c>
      <c r="E14" s="83">
        <v>0.4</v>
      </c>
      <c r="F14" s="79"/>
      <c r="G14" s="79"/>
      <c r="H14" s="123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AVERAGE(E11:E14)</f>
        <v>0.76666666666666661</v>
      </c>
      <c r="F15" s="53"/>
      <c r="G15" s="70"/>
      <c r="H15" s="70"/>
    </row>
    <row r="16" spans="1:9" s="50" customFormat="1" ht="36" customHeight="1"/>
    <row r="17" spans="1:8" s="50" customFormat="1" ht="15.75">
      <c r="A17" s="55"/>
      <c r="B17" s="74"/>
      <c r="C17" s="74"/>
      <c r="D17" s="74"/>
      <c r="E17" s="75"/>
      <c r="F17" s="75"/>
      <c r="G17" s="76"/>
      <c r="H17" s="76"/>
    </row>
    <row r="18" spans="1:8" s="50" customFormat="1" ht="15.75">
      <c r="A18" s="55" t="s">
        <v>75</v>
      </c>
      <c r="B18" s="56" t="s">
        <v>99</v>
      </c>
      <c r="C18" s="58"/>
      <c r="D18" s="58"/>
      <c r="E18" s="57"/>
      <c r="F18" s="57"/>
      <c r="G18" s="57"/>
      <c r="H18" s="57"/>
    </row>
    <row r="19" spans="1:8" s="54" customFormat="1">
      <c r="A19" s="44"/>
      <c r="B19" s="43"/>
      <c r="C19" s="43"/>
      <c r="D19" s="43"/>
      <c r="E19" s="44"/>
      <c r="F19" s="44"/>
      <c r="G19" s="44"/>
      <c r="H19" s="44"/>
    </row>
    <row r="20" spans="1:8" s="54" customFormat="1" ht="15.75">
      <c r="A20" s="120" t="s">
        <v>34</v>
      </c>
      <c r="B20" s="174" t="s">
        <v>71</v>
      </c>
      <c r="C20" s="174"/>
      <c r="D20" s="174"/>
      <c r="E20" s="120" t="s">
        <v>100</v>
      </c>
      <c r="F20" s="120" t="s">
        <v>102</v>
      </c>
      <c r="G20" s="120" t="s">
        <v>70</v>
      </c>
      <c r="H20" s="58"/>
    </row>
    <row r="21" spans="1:8" s="58" customFormat="1" ht="16.5">
      <c r="A21" s="60">
        <v>1</v>
      </c>
      <c r="B21" s="179" t="s">
        <v>110</v>
      </c>
      <c r="C21" s="179"/>
      <c r="D21" s="179"/>
      <c r="E21" s="200" t="s">
        <v>272</v>
      </c>
      <c r="F21" s="123" t="s">
        <v>252</v>
      </c>
      <c r="G21" s="123"/>
      <c r="H21" s="61"/>
    </row>
    <row r="22" spans="1:8" s="58" customFormat="1" ht="16.5">
      <c r="A22" s="60">
        <v>2</v>
      </c>
      <c r="B22" s="201" t="s">
        <v>267</v>
      </c>
      <c r="C22" s="201"/>
      <c r="D22" s="201"/>
      <c r="E22" s="200"/>
      <c r="F22" s="123"/>
      <c r="G22" s="123"/>
      <c r="H22" s="61"/>
    </row>
    <row r="23" spans="1:8">
      <c r="A23" s="105">
        <v>3</v>
      </c>
      <c r="B23" s="202" t="s">
        <v>232</v>
      </c>
      <c r="C23" s="203"/>
      <c r="D23" s="203"/>
      <c r="E23" s="200"/>
      <c r="F23" s="123"/>
      <c r="G23" s="123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7">
    <mergeCell ref="D25:G25"/>
    <mergeCell ref="A1:H1"/>
    <mergeCell ref="B20:D20"/>
    <mergeCell ref="B21:D21"/>
    <mergeCell ref="E21:E23"/>
    <mergeCell ref="B22:D22"/>
    <mergeCell ref="B23:D23"/>
  </mergeCells>
  <pageMargins left="0.7" right="0.7" top="0.75" bottom="0.75" header="0.3" footer="0.3"/>
  <pageSetup paperSize="9" scale="7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zoomScale="89" zoomScaleNormal="89" workbookViewId="0">
      <selection activeCell="I16" sqref="I16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273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270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274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21" t="s">
        <v>110</v>
      </c>
      <c r="D11" s="79" t="s">
        <v>113</v>
      </c>
      <c r="E11" s="83">
        <v>1</v>
      </c>
      <c r="F11" s="81"/>
      <c r="G11" s="123" t="s">
        <v>114</v>
      </c>
    </row>
    <row r="12" spans="1:9" s="50" customFormat="1" ht="16.5">
      <c r="A12" s="49">
        <v>3</v>
      </c>
      <c r="B12" s="121" t="s">
        <v>241</v>
      </c>
      <c r="C12" s="121" t="s">
        <v>242</v>
      </c>
      <c r="D12" s="79" t="s">
        <v>113</v>
      </c>
      <c r="E12" s="83">
        <v>1</v>
      </c>
      <c r="F12" s="81"/>
      <c r="G12" s="123" t="s">
        <v>114</v>
      </c>
    </row>
    <row r="13" spans="1:9" s="50" customFormat="1" ht="16.5">
      <c r="A13" s="49">
        <v>4</v>
      </c>
      <c r="B13" s="121" t="s">
        <v>243</v>
      </c>
      <c r="C13" s="121" t="s">
        <v>244</v>
      </c>
      <c r="D13" s="79" t="s">
        <v>113</v>
      </c>
      <c r="E13" s="83">
        <v>1</v>
      </c>
      <c r="F13" s="81"/>
      <c r="G13" s="123" t="s">
        <v>114</v>
      </c>
    </row>
    <row r="14" spans="1:9" s="50" customFormat="1" ht="16.5">
      <c r="A14" s="49">
        <v>5</v>
      </c>
      <c r="B14" s="121" t="s">
        <v>275</v>
      </c>
      <c r="C14" s="121" t="s">
        <v>276</v>
      </c>
      <c r="D14" s="79" t="s">
        <v>113</v>
      </c>
      <c r="E14" s="83">
        <v>1</v>
      </c>
      <c r="F14" s="81"/>
      <c r="G14" s="123" t="s">
        <v>114</v>
      </c>
    </row>
    <row r="15" spans="1:9" s="50" customFormat="1" ht="16.5">
      <c r="A15" s="49">
        <v>6</v>
      </c>
      <c r="B15" s="121" t="s">
        <v>277</v>
      </c>
      <c r="C15" s="121" t="s">
        <v>277</v>
      </c>
      <c r="D15" s="79" t="s">
        <v>278</v>
      </c>
      <c r="E15" s="83">
        <v>0.4</v>
      </c>
      <c r="F15" s="81"/>
      <c r="G15" s="123" t="s">
        <v>114</v>
      </c>
    </row>
    <row r="16" spans="1:9" s="54" customFormat="1" ht="15.75">
      <c r="A16" s="52"/>
      <c r="B16" s="49" t="s">
        <v>74</v>
      </c>
      <c r="C16" s="52"/>
      <c r="D16" s="52"/>
      <c r="E16" s="53">
        <f>AVERAGE(E11:E15)</f>
        <v>0.88000000000000012</v>
      </c>
      <c r="F16" s="53"/>
      <c r="G16" s="70"/>
    </row>
    <row r="17" spans="1:7" s="54" customFormat="1" ht="15.75">
      <c r="A17" s="55"/>
      <c r="B17" s="74"/>
      <c r="C17" s="74"/>
      <c r="D17" s="74"/>
      <c r="E17" s="75"/>
      <c r="F17" s="75"/>
      <c r="G17" s="76"/>
    </row>
    <row r="18" spans="1:7" s="58" customFormat="1" ht="15.75">
      <c r="A18" s="55" t="s">
        <v>75</v>
      </c>
      <c r="B18" s="56" t="s">
        <v>76</v>
      </c>
      <c r="E18" s="57"/>
      <c r="F18" s="57"/>
      <c r="G18" s="57"/>
    </row>
    <row r="20" spans="1:7" s="58" customFormat="1" ht="47.25">
      <c r="A20" s="120" t="s">
        <v>6</v>
      </c>
      <c r="B20" s="174" t="s">
        <v>71</v>
      </c>
      <c r="C20" s="174"/>
      <c r="D20" s="174"/>
      <c r="E20" s="120" t="s">
        <v>92</v>
      </c>
      <c r="F20" s="120" t="s">
        <v>87</v>
      </c>
      <c r="G20" s="120" t="s">
        <v>70</v>
      </c>
    </row>
    <row r="21" spans="1:7" s="61" customFormat="1" ht="16.5">
      <c r="A21" s="107">
        <v>1</v>
      </c>
      <c r="B21" s="193" t="s">
        <v>77</v>
      </c>
      <c r="C21" s="193"/>
      <c r="D21" s="193"/>
      <c r="E21" s="60">
        <v>9</v>
      </c>
      <c r="F21" s="60"/>
      <c r="G21" s="60"/>
    </row>
    <row r="22" spans="1:7" s="61" customFormat="1" ht="16.5">
      <c r="A22" s="107">
        <v>2</v>
      </c>
      <c r="B22" s="193" t="s">
        <v>78</v>
      </c>
      <c r="C22" s="193"/>
      <c r="D22" s="193"/>
      <c r="E22" s="60">
        <v>9</v>
      </c>
      <c r="F22" s="60"/>
      <c r="G22" s="60"/>
    </row>
    <row r="23" spans="1:7" s="61" customFormat="1" ht="16.5">
      <c r="A23" s="107">
        <v>3</v>
      </c>
      <c r="B23" s="192" t="s">
        <v>79</v>
      </c>
      <c r="C23" s="192"/>
      <c r="D23" s="192"/>
      <c r="E23" s="60">
        <v>7</v>
      </c>
      <c r="F23" s="60"/>
      <c r="G23" s="60"/>
    </row>
    <row r="24" spans="1:7" s="61" customFormat="1" ht="16.5">
      <c r="A24" s="107">
        <v>4</v>
      </c>
      <c r="B24" s="192" t="s">
        <v>80</v>
      </c>
      <c r="C24" s="192"/>
      <c r="D24" s="192"/>
      <c r="E24" s="60">
        <v>9</v>
      </c>
      <c r="F24" s="60"/>
      <c r="G24" s="60"/>
    </row>
    <row r="25" spans="1:7" s="61" customFormat="1" ht="16.5">
      <c r="A25" s="107">
        <v>5</v>
      </c>
      <c r="B25" s="193" t="s">
        <v>81</v>
      </c>
      <c r="C25" s="193"/>
      <c r="D25" s="193"/>
      <c r="E25" s="60">
        <v>9</v>
      </c>
      <c r="F25" s="60"/>
      <c r="G25" s="60"/>
    </row>
    <row r="26" spans="1:7">
      <c r="A26" s="65"/>
      <c r="B26" s="194" t="s">
        <v>74</v>
      </c>
      <c r="C26" s="194"/>
      <c r="D26" s="194"/>
      <c r="E26" s="122"/>
      <c r="F26" s="122"/>
      <c r="G26" s="65"/>
    </row>
    <row r="27" spans="1:7" ht="17.25" customHeight="1">
      <c r="B27" s="77"/>
      <c r="C27" s="77"/>
      <c r="D27" s="77"/>
      <c r="E27" s="77"/>
      <c r="F27" s="77"/>
    </row>
    <row r="28" spans="1:7" s="61" customFormat="1" ht="16.5">
      <c r="A28" s="67" t="s">
        <v>85</v>
      </c>
      <c r="E28" s="68"/>
      <c r="F28" s="68"/>
      <c r="G28" s="68"/>
    </row>
    <row r="29" spans="1:7" s="61" customFormat="1" ht="16.5">
      <c r="A29" s="69" t="s">
        <v>82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 t="s">
        <v>83</v>
      </c>
      <c r="E31" s="68"/>
      <c r="F31" s="68"/>
      <c r="G31" s="68"/>
    </row>
    <row r="32" spans="1:7" s="61" customFormat="1" ht="16.5">
      <c r="A32" s="69" t="s">
        <v>83</v>
      </c>
      <c r="E32" s="68"/>
      <c r="F32" s="68"/>
      <c r="G32" s="68"/>
    </row>
    <row r="33" spans="1:7" s="61" customFormat="1" ht="16.5">
      <c r="A33" s="69"/>
      <c r="E33" s="68"/>
      <c r="F33" s="68"/>
      <c r="G33" s="68"/>
    </row>
    <row r="34" spans="1:7" s="61" customFormat="1" ht="16.5">
      <c r="A34" s="67" t="s">
        <v>86</v>
      </c>
      <c r="E34" s="68"/>
      <c r="F34" s="68"/>
      <c r="G34" s="68"/>
    </row>
    <row r="35" spans="1:7" s="61" customFormat="1" ht="16.5">
      <c r="A35" s="69" t="s">
        <v>82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A37" s="69" t="s">
        <v>83</v>
      </c>
      <c r="E37" s="68"/>
      <c r="F37" s="68"/>
      <c r="G37" s="68"/>
    </row>
    <row r="38" spans="1:7" s="61" customFormat="1" ht="16.5">
      <c r="A38" s="69" t="s">
        <v>83</v>
      </c>
      <c r="E38" s="68"/>
      <c r="F38" s="68"/>
      <c r="G38" s="68"/>
    </row>
    <row r="39" spans="1:7" s="61" customFormat="1" ht="16.5">
      <c r="E39" s="68"/>
      <c r="F39" s="68"/>
      <c r="G39" s="68"/>
    </row>
    <row r="40" spans="1:7" s="72" customFormat="1" ht="18.75" customHeight="1">
      <c r="A40" s="71"/>
      <c r="B40" s="71" t="s">
        <v>89</v>
      </c>
      <c r="C40" s="73" t="s">
        <v>90</v>
      </c>
      <c r="D40" s="173" t="s">
        <v>7</v>
      </c>
      <c r="E40" s="173"/>
      <c r="F40" s="173"/>
      <c r="G40" s="173"/>
    </row>
    <row r="41" spans="1:7" s="61" customFormat="1" ht="16.5">
      <c r="A41" s="68"/>
      <c r="B41" s="68" t="s">
        <v>199</v>
      </c>
      <c r="E41" s="68"/>
      <c r="F41" s="68"/>
      <c r="G41" s="68"/>
    </row>
    <row r="42" spans="1:7" s="61" customFormat="1" ht="16.5">
      <c r="A42" s="68"/>
      <c r="B42" s="68" t="s">
        <v>200</v>
      </c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  <row r="53" spans="1:7" s="61" customFormat="1" ht="16.5">
      <c r="A53" s="68"/>
      <c r="E53" s="68"/>
      <c r="F53" s="68"/>
      <c r="G53" s="68"/>
    </row>
    <row r="54" spans="1:7" s="61" customFormat="1" ht="16.5">
      <c r="A54" s="68"/>
      <c r="E54" s="68"/>
      <c r="F54" s="68"/>
      <c r="G54" s="68"/>
    </row>
  </sheetData>
  <mergeCells count="9">
    <mergeCell ref="B25:D25"/>
    <mergeCell ref="B26:D26"/>
    <mergeCell ref="D40:G40"/>
    <mergeCell ref="A1:G1"/>
    <mergeCell ref="B20:D20"/>
    <mergeCell ref="B21:D21"/>
    <mergeCell ref="B22:D22"/>
    <mergeCell ref="B23:D23"/>
    <mergeCell ref="B24:D24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topLeftCell="A40" zoomScale="115" zoomScaleNormal="89" zoomScaleSheetLayoutView="115" workbookViewId="0">
      <selection activeCell="F4" sqref="F4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279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280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25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198</v>
      </c>
      <c r="E12" s="83">
        <v>1</v>
      </c>
      <c r="F12" s="79"/>
      <c r="G12" s="79"/>
      <c r="H12" s="125" t="s">
        <v>114</v>
      </c>
    </row>
    <row r="13" spans="1:9" s="50" customFormat="1" ht="16.5">
      <c r="A13" s="51">
        <v>3</v>
      </c>
      <c r="B13" s="79" t="s">
        <v>281</v>
      </c>
      <c r="C13" s="79"/>
      <c r="D13" s="79" t="s">
        <v>172</v>
      </c>
      <c r="E13" s="83">
        <v>0.4</v>
      </c>
      <c r="F13" s="79"/>
      <c r="G13" s="79"/>
      <c r="H13" s="125" t="s">
        <v>114</v>
      </c>
    </row>
    <row r="14" spans="1:9" s="50" customFormat="1" ht="31.5">
      <c r="A14" s="51">
        <v>4</v>
      </c>
      <c r="B14" s="79" t="s">
        <v>282</v>
      </c>
      <c r="C14" s="79"/>
      <c r="D14" s="79" t="s">
        <v>198</v>
      </c>
      <c r="E14" s="83">
        <v>1</v>
      </c>
      <c r="F14" s="79"/>
      <c r="G14" s="79"/>
      <c r="H14" s="125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AVERAGE(E11:E14)</f>
        <v>0.79999999999999993</v>
      </c>
      <c r="F15" s="53"/>
      <c r="G15" s="70"/>
      <c r="H15" s="70"/>
    </row>
    <row r="16" spans="1:9" s="50" customFormat="1" ht="36" customHeight="1"/>
    <row r="17" spans="1:8" s="50" customFormat="1" ht="15.75">
      <c r="A17" s="55"/>
      <c r="B17" s="74"/>
      <c r="C17" s="74"/>
      <c r="D17" s="74"/>
      <c r="E17" s="75"/>
      <c r="F17" s="75"/>
      <c r="G17" s="76"/>
      <c r="H17" s="76"/>
    </row>
    <row r="18" spans="1:8" s="50" customFormat="1" ht="15.75">
      <c r="A18" s="55" t="s">
        <v>75</v>
      </c>
      <c r="B18" s="56" t="s">
        <v>99</v>
      </c>
      <c r="C18" s="58"/>
      <c r="D18" s="58"/>
      <c r="E18" s="57"/>
      <c r="F18" s="57"/>
      <c r="G18" s="57"/>
      <c r="H18" s="57"/>
    </row>
    <row r="19" spans="1:8" s="54" customFormat="1">
      <c r="A19" s="44"/>
      <c r="B19" s="43"/>
      <c r="C19" s="43"/>
      <c r="D19" s="43"/>
      <c r="E19" s="44"/>
      <c r="F19" s="44"/>
      <c r="G19" s="44"/>
      <c r="H19" s="44"/>
    </row>
    <row r="20" spans="1:8" s="54" customFormat="1" ht="15.75">
      <c r="A20" s="124" t="s">
        <v>34</v>
      </c>
      <c r="B20" s="174" t="s">
        <v>71</v>
      </c>
      <c r="C20" s="174"/>
      <c r="D20" s="174"/>
      <c r="E20" s="124" t="s">
        <v>100</v>
      </c>
      <c r="F20" s="124" t="s">
        <v>102</v>
      </c>
      <c r="G20" s="124" t="s">
        <v>70</v>
      </c>
      <c r="H20" s="58"/>
    </row>
    <row r="21" spans="1:8" s="58" customFormat="1" ht="16.5">
      <c r="A21" s="60">
        <v>1</v>
      </c>
      <c r="B21" s="179" t="s">
        <v>110</v>
      </c>
      <c r="C21" s="179"/>
      <c r="D21" s="179"/>
      <c r="E21" s="200" t="s">
        <v>283</v>
      </c>
      <c r="F21" s="125" t="s">
        <v>252</v>
      </c>
      <c r="G21" s="125"/>
      <c r="H21" s="61"/>
    </row>
    <row r="22" spans="1:8" s="58" customFormat="1" ht="16.5">
      <c r="A22" s="60">
        <v>2</v>
      </c>
      <c r="B22" s="201" t="s">
        <v>255</v>
      </c>
      <c r="C22" s="201"/>
      <c r="D22" s="201"/>
      <c r="E22" s="200"/>
      <c r="F22" s="125"/>
      <c r="G22" s="125"/>
      <c r="H22" s="61"/>
    </row>
    <row r="23" spans="1:8">
      <c r="A23" s="105">
        <v>3</v>
      </c>
      <c r="B23" s="202" t="s">
        <v>232</v>
      </c>
      <c r="C23" s="203"/>
      <c r="D23" s="203"/>
      <c r="E23" s="200"/>
      <c r="F23" s="125"/>
      <c r="G23" s="125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7">
    <mergeCell ref="D25:G25"/>
    <mergeCell ref="A1:H1"/>
    <mergeCell ref="B20:D20"/>
    <mergeCell ref="B21:D21"/>
    <mergeCell ref="E21:E23"/>
    <mergeCell ref="B22:D22"/>
    <mergeCell ref="B23:D23"/>
  </mergeCells>
  <pageMargins left="0.7" right="0.7" top="0.75" bottom="0.75" header="0.3" footer="0.3"/>
  <pageSetup paperSize="9" scale="7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="115" zoomScaleNormal="89" zoomScaleSheetLayoutView="115" workbookViewId="0">
      <selection activeCell="F5" sqref="F5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33.8554687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284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285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27" t="s">
        <v>114</v>
      </c>
    </row>
    <row r="12" spans="1:9" s="50" customFormat="1" ht="31.5">
      <c r="A12" s="51">
        <v>2</v>
      </c>
      <c r="B12" s="79" t="s">
        <v>222</v>
      </c>
      <c r="C12" s="79" t="s">
        <v>226</v>
      </c>
      <c r="D12" s="79" t="s">
        <v>198</v>
      </c>
      <c r="E12" s="83">
        <v>1</v>
      </c>
      <c r="F12" s="79"/>
      <c r="G12" s="79"/>
      <c r="H12" s="127" t="s">
        <v>114</v>
      </c>
    </row>
    <row r="13" spans="1:9" s="50" customFormat="1" ht="16.5">
      <c r="A13" s="51">
        <v>3</v>
      </c>
      <c r="B13" s="79" t="s">
        <v>281</v>
      </c>
      <c r="C13" s="79"/>
      <c r="D13" s="79" t="s">
        <v>198</v>
      </c>
      <c r="E13" s="83">
        <v>1</v>
      </c>
      <c r="F13" s="79"/>
      <c r="G13" s="79"/>
      <c r="H13" s="127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1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26" t="s">
        <v>34</v>
      </c>
      <c r="B19" s="174" t="s">
        <v>71</v>
      </c>
      <c r="C19" s="174"/>
      <c r="D19" s="174"/>
      <c r="E19" s="126" t="s">
        <v>100</v>
      </c>
      <c r="F19" s="126" t="s">
        <v>102</v>
      </c>
      <c r="G19" s="126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287</v>
      </c>
      <c r="F20" s="127" t="s">
        <v>252</v>
      </c>
      <c r="G20" s="127"/>
      <c r="H20" s="61"/>
    </row>
    <row r="21" spans="1:8" s="58" customFormat="1" ht="16.5">
      <c r="A21" s="60">
        <v>2</v>
      </c>
      <c r="B21" s="201" t="s">
        <v>286</v>
      </c>
      <c r="C21" s="201"/>
      <c r="D21" s="201"/>
      <c r="E21" s="200"/>
      <c r="F21" s="127"/>
      <c r="G21" s="127"/>
      <c r="H21" s="61"/>
    </row>
    <row r="22" spans="1:8">
      <c r="A22" s="105">
        <v>3</v>
      </c>
      <c r="B22" s="202" t="s">
        <v>232</v>
      </c>
      <c r="C22" s="203"/>
      <c r="D22" s="203"/>
      <c r="E22" s="200"/>
      <c r="F22" s="127"/>
      <c r="G22" s="127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7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="115" zoomScaleNormal="89" zoomScaleSheetLayoutView="115" workbookViewId="0">
      <selection sqref="A1:H1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288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289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29" t="s">
        <v>114</v>
      </c>
    </row>
    <row r="12" spans="1:9" s="50" customFormat="1" ht="16.5">
      <c r="A12" s="51">
        <v>2</v>
      </c>
      <c r="B12" s="79" t="s">
        <v>290</v>
      </c>
      <c r="C12" s="79" t="s">
        <v>290</v>
      </c>
      <c r="D12" s="79" t="s">
        <v>198</v>
      </c>
      <c r="E12" s="83">
        <v>1</v>
      </c>
      <c r="F12" s="79"/>
      <c r="G12" s="79"/>
      <c r="H12" s="129" t="s">
        <v>114</v>
      </c>
    </row>
    <row r="13" spans="1:9" s="50" customFormat="1" ht="16.5">
      <c r="A13" s="51">
        <v>3</v>
      </c>
      <c r="B13" s="79" t="s">
        <v>291</v>
      </c>
      <c r="C13" s="79"/>
      <c r="D13" s="79" t="s">
        <v>198</v>
      </c>
      <c r="E13" s="83">
        <v>1</v>
      </c>
      <c r="F13" s="79"/>
      <c r="G13" s="79"/>
      <c r="H13" s="129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1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28" t="s">
        <v>34</v>
      </c>
      <c r="B19" s="174" t="s">
        <v>71</v>
      </c>
      <c r="C19" s="174"/>
      <c r="D19" s="174"/>
      <c r="E19" s="128" t="s">
        <v>100</v>
      </c>
      <c r="F19" s="128" t="s">
        <v>102</v>
      </c>
      <c r="G19" s="128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292</v>
      </c>
      <c r="F20" s="129" t="s">
        <v>252</v>
      </c>
      <c r="G20" s="129"/>
      <c r="H20" s="61"/>
    </row>
    <row r="21" spans="1:8" s="58" customFormat="1" ht="16.5">
      <c r="A21" s="60">
        <v>2</v>
      </c>
      <c r="B21" s="201" t="s">
        <v>286</v>
      </c>
      <c r="C21" s="201"/>
      <c r="D21" s="201"/>
      <c r="E21" s="200"/>
      <c r="F21" s="129"/>
      <c r="G21" s="129"/>
      <c r="H21" s="61"/>
    </row>
    <row r="22" spans="1:8">
      <c r="A22" s="105">
        <v>3</v>
      </c>
      <c r="B22" s="202" t="s">
        <v>232</v>
      </c>
      <c r="C22" s="203"/>
      <c r="D22" s="203"/>
      <c r="E22" s="200"/>
      <c r="F22" s="129"/>
      <c r="G22" s="129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6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zoomScale="115" zoomScaleNormal="89" zoomScaleSheetLayoutView="115" workbookViewId="0">
      <selection activeCell="E16" sqref="E16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293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294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31" t="s">
        <v>114</v>
      </c>
    </row>
    <row r="12" spans="1:9" s="50" customFormat="1" ht="16.5">
      <c r="A12" s="51">
        <v>2</v>
      </c>
      <c r="B12" s="79" t="s">
        <v>290</v>
      </c>
      <c r="C12" s="79" t="s">
        <v>290</v>
      </c>
      <c r="D12" s="79" t="s">
        <v>198</v>
      </c>
      <c r="E12" s="83">
        <v>1</v>
      </c>
      <c r="F12" s="79"/>
      <c r="G12" s="79"/>
      <c r="H12" s="131" t="s">
        <v>114</v>
      </c>
    </row>
    <row r="13" spans="1:9" s="50" customFormat="1" ht="16.5">
      <c r="A13" s="51">
        <v>3</v>
      </c>
      <c r="B13" s="79" t="s">
        <v>291</v>
      </c>
      <c r="C13" s="79" t="s">
        <v>295</v>
      </c>
      <c r="D13" s="79" t="s">
        <v>198</v>
      </c>
      <c r="E13" s="83">
        <v>1</v>
      </c>
      <c r="F13" s="79"/>
      <c r="G13" s="79"/>
      <c r="H13" s="131" t="s">
        <v>114</v>
      </c>
    </row>
    <row r="14" spans="1:9" s="50" customFormat="1" ht="16.5">
      <c r="A14" s="51">
        <v>4</v>
      </c>
      <c r="B14" s="79" t="s">
        <v>296</v>
      </c>
      <c r="C14" s="79"/>
      <c r="D14" s="79" t="s">
        <v>198</v>
      </c>
      <c r="E14" s="83">
        <v>1</v>
      </c>
      <c r="F14" s="79"/>
      <c r="G14" s="79"/>
      <c r="H14" s="131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AVERAGE(E11:E13)</f>
        <v>1</v>
      </c>
      <c r="F15" s="53"/>
      <c r="G15" s="70"/>
      <c r="H15" s="70"/>
    </row>
    <row r="16" spans="1:9" s="50" customFormat="1" ht="36" customHeight="1"/>
    <row r="17" spans="1:8" s="50" customFormat="1" ht="15.75">
      <c r="A17" s="55"/>
      <c r="B17" s="74"/>
      <c r="C17" s="74"/>
      <c r="D17" s="74"/>
      <c r="E17" s="75"/>
      <c r="F17" s="75"/>
      <c r="G17" s="76"/>
      <c r="H17" s="76"/>
    </row>
    <row r="18" spans="1:8" s="50" customFormat="1" ht="15.75">
      <c r="A18" s="55" t="s">
        <v>75</v>
      </c>
      <c r="B18" s="56" t="s">
        <v>99</v>
      </c>
      <c r="C18" s="58"/>
      <c r="D18" s="58"/>
      <c r="E18" s="57"/>
      <c r="F18" s="57"/>
      <c r="G18" s="57"/>
      <c r="H18" s="57"/>
    </row>
    <row r="19" spans="1:8" s="54" customFormat="1">
      <c r="A19" s="44"/>
      <c r="B19" s="43"/>
      <c r="C19" s="43"/>
      <c r="D19" s="43"/>
      <c r="E19" s="44"/>
      <c r="F19" s="44"/>
      <c r="G19" s="44"/>
      <c r="H19" s="44"/>
    </row>
    <row r="20" spans="1:8" s="54" customFormat="1" ht="15.75">
      <c r="A20" s="130" t="s">
        <v>34</v>
      </c>
      <c r="B20" s="174" t="s">
        <v>71</v>
      </c>
      <c r="C20" s="174"/>
      <c r="D20" s="174"/>
      <c r="E20" s="130" t="s">
        <v>100</v>
      </c>
      <c r="F20" s="130" t="s">
        <v>102</v>
      </c>
      <c r="G20" s="130" t="s">
        <v>70</v>
      </c>
      <c r="H20" s="58"/>
    </row>
    <row r="21" spans="1:8" s="58" customFormat="1" ht="16.5">
      <c r="A21" s="60">
        <v>1</v>
      </c>
      <c r="B21" s="179" t="s">
        <v>110</v>
      </c>
      <c r="C21" s="179"/>
      <c r="D21" s="179"/>
      <c r="E21" s="200" t="s">
        <v>297</v>
      </c>
      <c r="F21" s="131" t="s">
        <v>252</v>
      </c>
      <c r="G21" s="131"/>
      <c r="H21" s="61"/>
    </row>
    <row r="22" spans="1:8" s="58" customFormat="1" ht="16.5">
      <c r="A22" s="60">
        <v>2</v>
      </c>
      <c r="B22" s="201" t="s">
        <v>286</v>
      </c>
      <c r="C22" s="201"/>
      <c r="D22" s="201"/>
      <c r="E22" s="200"/>
      <c r="F22" s="131"/>
      <c r="G22" s="131"/>
      <c r="H22" s="61"/>
    </row>
    <row r="23" spans="1:8">
      <c r="A23" s="105">
        <v>3</v>
      </c>
      <c r="B23" s="202" t="s">
        <v>232</v>
      </c>
      <c r="C23" s="203"/>
      <c r="D23" s="203"/>
      <c r="E23" s="200"/>
      <c r="F23" s="131"/>
      <c r="G23" s="131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7">
    <mergeCell ref="D25:G25"/>
    <mergeCell ref="A1:H1"/>
    <mergeCell ref="B20:D20"/>
    <mergeCell ref="B21:D21"/>
    <mergeCell ref="E21:E23"/>
    <mergeCell ref="B22:D22"/>
    <mergeCell ref="B23:D23"/>
  </mergeCells>
  <pageMargins left="0.7" right="0.7" top="0.75" bottom="0.75" header="0.3" footer="0.3"/>
  <pageSetup paperSize="9" scale="6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="115" zoomScaleNormal="89" zoomScaleSheetLayoutView="115" workbookViewId="0">
      <selection activeCell="E20" sqref="E20:E22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298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299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33" t="s">
        <v>114</v>
      </c>
    </row>
    <row r="12" spans="1:9" s="50" customFormat="1" ht="16.5">
      <c r="A12" s="51">
        <v>2</v>
      </c>
      <c r="B12" s="79" t="s">
        <v>300</v>
      </c>
      <c r="C12" s="79"/>
      <c r="D12" s="79" t="s">
        <v>227</v>
      </c>
      <c r="E12" s="83">
        <v>0.3</v>
      </c>
      <c r="F12" s="79"/>
      <c r="G12" s="79"/>
      <c r="H12" s="133" t="s">
        <v>114</v>
      </c>
    </row>
    <row r="13" spans="1:9" s="50" customFormat="1" ht="16.5">
      <c r="A13" s="51">
        <v>3</v>
      </c>
      <c r="B13" s="79" t="s">
        <v>232</v>
      </c>
      <c r="C13" s="79"/>
      <c r="D13" s="79" t="s">
        <v>198</v>
      </c>
      <c r="E13" s="83">
        <v>1</v>
      </c>
      <c r="F13" s="79"/>
      <c r="G13" s="79"/>
      <c r="H13" s="133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0.65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32" t="s">
        <v>34</v>
      </c>
      <c r="B19" s="174" t="s">
        <v>71</v>
      </c>
      <c r="C19" s="174"/>
      <c r="D19" s="174"/>
      <c r="E19" s="132" t="s">
        <v>100</v>
      </c>
      <c r="F19" s="132" t="s">
        <v>102</v>
      </c>
      <c r="G19" s="132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302</v>
      </c>
      <c r="F20" s="133" t="s">
        <v>252</v>
      </c>
      <c r="G20" s="133"/>
      <c r="H20" s="61"/>
    </row>
    <row r="21" spans="1:8" s="58" customFormat="1" ht="16.5">
      <c r="A21" s="60">
        <v>2</v>
      </c>
      <c r="B21" s="201" t="s">
        <v>300</v>
      </c>
      <c r="C21" s="201"/>
      <c r="D21" s="201"/>
      <c r="E21" s="200"/>
      <c r="F21" s="133"/>
      <c r="G21" s="133"/>
      <c r="H21" s="61"/>
    </row>
    <row r="22" spans="1:8">
      <c r="A22" s="105">
        <v>3</v>
      </c>
      <c r="B22" s="202" t="s">
        <v>301</v>
      </c>
      <c r="C22" s="203"/>
      <c r="D22" s="203"/>
      <c r="E22" s="200"/>
      <c r="F22" s="133"/>
      <c r="G22" s="133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A1:H1"/>
    <mergeCell ref="B19:D19"/>
    <mergeCell ref="B20:D20"/>
    <mergeCell ref="E20:E22"/>
    <mergeCell ref="B21:D21"/>
    <mergeCell ref="B22:D22"/>
  </mergeCells>
  <pageMargins left="0.7" right="0.7" top="0.75" bottom="0.75" header="0.3" footer="0.3"/>
  <pageSetup paperSize="9" scale="6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C2" sqref="C2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305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303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35" t="s">
        <v>114</v>
      </c>
    </row>
    <row r="12" spans="1:9" s="50" customFormat="1" ht="16.5">
      <c r="A12" s="51">
        <v>2</v>
      </c>
      <c r="B12" s="79" t="s">
        <v>300</v>
      </c>
      <c r="C12" s="79"/>
      <c r="D12" s="79" t="s">
        <v>227</v>
      </c>
      <c r="E12" s="83">
        <v>0.5</v>
      </c>
      <c r="F12" s="79"/>
      <c r="G12" s="79"/>
      <c r="H12" s="135" t="s">
        <v>114</v>
      </c>
    </row>
    <row r="13" spans="1:9" s="50" customFormat="1" ht="15.75">
      <c r="A13" s="52"/>
      <c r="B13" s="49" t="s">
        <v>101</v>
      </c>
      <c r="C13" s="80"/>
      <c r="D13" s="52"/>
      <c r="E13" s="83">
        <v>0.75</v>
      </c>
      <c r="F13" s="53"/>
      <c r="G13" s="70"/>
      <c r="H13" s="70"/>
    </row>
    <row r="14" spans="1:9" s="50" customFormat="1" ht="36" customHeight="1"/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34" t="s">
        <v>34</v>
      </c>
      <c r="B18" s="174" t="s">
        <v>71</v>
      </c>
      <c r="C18" s="174"/>
      <c r="D18" s="174"/>
      <c r="E18" s="134" t="s">
        <v>100</v>
      </c>
      <c r="F18" s="134" t="s">
        <v>102</v>
      </c>
      <c r="G18" s="134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200" t="s">
        <v>304</v>
      </c>
      <c r="F19" s="135" t="s">
        <v>252</v>
      </c>
      <c r="G19" s="135"/>
      <c r="H19" s="61"/>
    </row>
    <row r="20" spans="1:8" s="58" customFormat="1" ht="16.5">
      <c r="A20" s="60">
        <v>2</v>
      </c>
      <c r="B20" s="201" t="s">
        <v>300</v>
      </c>
      <c r="C20" s="201"/>
      <c r="D20" s="201"/>
      <c r="E20" s="200"/>
      <c r="F20" s="135"/>
      <c r="G20" s="135"/>
      <c r="H20" s="61"/>
    </row>
    <row r="21" spans="1:8">
      <c r="A21" s="105">
        <v>3</v>
      </c>
      <c r="B21" s="202" t="s">
        <v>301</v>
      </c>
      <c r="C21" s="203"/>
      <c r="D21" s="203"/>
      <c r="E21" s="200"/>
      <c r="F21" s="135"/>
      <c r="G21" s="135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7">
    <mergeCell ref="D23:G23"/>
    <mergeCell ref="A1:H1"/>
    <mergeCell ref="B18:D18"/>
    <mergeCell ref="B19:D19"/>
    <mergeCell ref="E19:E21"/>
    <mergeCell ref="B20:D20"/>
    <mergeCell ref="B21:D21"/>
  </mergeCells>
  <pageMargins left="0.7" right="0.7" top="0.75" bottom="0.75" header="0.3" footer="0.3"/>
  <pageSetup paperSize="9" scale="67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E15" sqref="E15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306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307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37" t="s">
        <v>114</v>
      </c>
    </row>
    <row r="12" spans="1:9" s="50" customFormat="1" ht="16.5">
      <c r="A12" s="51">
        <v>2</v>
      </c>
      <c r="B12" s="79" t="s">
        <v>308</v>
      </c>
      <c r="C12" s="79"/>
      <c r="D12" s="79" t="s">
        <v>227</v>
      </c>
      <c r="E12" s="83">
        <v>0.3</v>
      </c>
      <c r="F12" s="79"/>
      <c r="G12" s="79"/>
      <c r="H12" s="137" t="s">
        <v>114</v>
      </c>
    </row>
    <row r="13" spans="1:9" s="50" customFormat="1" ht="16.5">
      <c r="A13" s="51">
        <v>3</v>
      </c>
      <c r="B13" s="79" t="s">
        <v>228</v>
      </c>
      <c r="C13" s="79"/>
      <c r="D13" s="79" t="s">
        <v>198</v>
      </c>
      <c r="E13" s="83">
        <v>1</v>
      </c>
      <c r="F13" s="79"/>
      <c r="G13" s="79"/>
      <c r="H13" s="138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0.65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36" t="s">
        <v>34</v>
      </c>
      <c r="B19" s="174" t="s">
        <v>71</v>
      </c>
      <c r="C19" s="174"/>
      <c r="D19" s="174"/>
      <c r="E19" s="136" t="s">
        <v>100</v>
      </c>
      <c r="F19" s="136" t="s">
        <v>102</v>
      </c>
      <c r="G19" s="136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309</v>
      </c>
      <c r="F20" s="137" t="s">
        <v>252</v>
      </c>
      <c r="G20" s="137"/>
      <c r="H20" s="61"/>
    </row>
    <row r="21" spans="1:8" s="58" customFormat="1" ht="16.5">
      <c r="A21" s="60">
        <v>2</v>
      </c>
      <c r="B21" s="201" t="s">
        <v>308</v>
      </c>
      <c r="C21" s="201"/>
      <c r="D21" s="201"/>
      <c r="E21" s="200"/>
      <c r="F21" s="137"/>
      <c r="G21" s="137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6">
    <mergeCell ref="D23:G23"/>
    <mergeCell ref="A1:H1"/>
    <mergeCell ref="B19:D19"/>
    <mergeCell ref="B20:D20"/>
    <mergeCell ref="E20:E21"/>
    <mergeCell ref="B21:D21"/>
  </mergeCells>
  <pageMargins left="0.7" right="0.7" top="0.75" bottom="0.75" header="0.3" footer="0.3"/>
  <pageSetup paperSize="9" scale="67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C17" sqref="C17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310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311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40" t="s">
        <v>114</v>
      </c>
    </row>
    <row r="12" spans="1:9" s="50" customFormat="1" ht="16.5">
      <c r="A12" s="51">
        <v>2</v>
      </c>
      <c r="B12" s="79" t="s">
        <v>308</v>
      </c>
      <c r="C12" s="79"/>
      <c r="D12" s="79" t="s">
        <v>227</v>
      </c>
      <c r="E12" s="83">
        <v>0.8</v>
      </c>
      <c r="F12" s="79"/>
      <c r="G12" s="79"/>
      <c r="H12" s="140" t="s">
        <v>114</v>
      </c>
    </row>
    <row r="13" spans="1:9" s="50" customFormat="1" ht="16.5">
      <c r="A13" s="51"/>
      <c r="B13" s="79"/>
      <c r="C13" s="79"/>
      <c r="D13" s="79"/>
      <c r="E13" s="83"/>
      <c r="F13" s="79"/>
      <c r="G13" s="79"/>
      <c r="H13" s="140"/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0.8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39" t="s">
        <v>34</v>
      </c>
      <c r="B19" s="174" t="s">
        <v>71</v>
      </c>
      <c r="C19" s="174"/>
      <c r="D19" s="174"/>
      <c r="E19" s="139" t="s">
        <v>100</v>
      </c>
      <c r="F19" s="139" t="s">
        <v>102</v>
      </c>
      <c r="G19" s="139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312</v>
      </c>
      <c r="F20" s="140" t="s">
        <v>252</v>
      </c>
      <c r="G20" s="140"/>
      <c r="H20" s="61"/>
    </row>
    <row r="21" spans="1:8" s="58" customFormat="1" ht="16.5">
      <c r="A21" s="60">
        <v>2</v>
      </c>
      <c r="B21" s="201" t="s">
        <v>308</v>
      </c>
      <c r="C21" s="201"/>
      <c r="D21" s="201"/>
      <c r="E21" s="200"/>
      <c r="F21" s="140"/>
      <c r="G21" s="140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6">
    <mergeCell ref="D23:G23"/>
    <mergeCell ref="A1:H1"/>
    <mergeCell ref="B19:D19"/>
    <mergeCell ref="B20:D20"/>
    <mergeCell ref="E20:E21"/>
    <mergeCell ref="B21:D21"/>
  </mergeCells>
  <pageMargins left="0.7" right="0.7" top="0.75" bottom="0.75" header="0.3" footer="0.3"/>
  <pageSetup paperSize="9" scale="67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A14" sqref="A14:XFD14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313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314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51">
        <v>1</v>
      </c>
      <c r="B11" s="79" t="s">
        <v>110</v>
      </c>
      <c r="C11" s="79" t="s">
        <v>110</v>
      </c>
      <c r="D11" s="79" t="s">
        <v>198</v>
      </c>
      <c r="E11" s="83" t="s">
        <v>105</v>
      </c>
      <c r="F11" s="79"/>
      <c r="G11" s="79"/>
      <c r="H11" s="144" t="s">
        <v>114</v>
      </c>
    </row>
    <row r="12" spans="1:9" s="50" customFormat="1" ht="16.5">
      <c r="A12" s="51">
        <v>2</v>
      </c>
      <c r="B12" s="79" t="s">
        <v>308</v>
      </c>
      <c r="C12" s="79"/>
      <c r="D12" s="79" t="s">
        <v>198</v>
      </c>
      <c r="E12" s="83">
        <v>1</v>
      </c>
      <c r="F12" s="79"/>
      <c r="G12" s="79"/>
      <c r="H12" s="144" t="s">
        <v>114</v>
      </c>
    </row>
    <row r="13" spans="1:9" s="50" customFormat="1" ht="16.5">
      <c r="A13" s="51"/>
      <c r="B13" s="79"/>
      <c r="C13" s="79"/>
      <c r="D13" s="79"/>
      <c r="E13" s="83"/>
      <c r="F13" s="79"/>
      <c r="G13" s="79"/>
      <c r="H13" s="144"/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1</v>
      </c>
      <c r="F14" s="53"/>
      <c r="G14" s="70"/>
      <c r="H14" s="70"/>
    </row>
    <row r="15" spans="1:9" s="50" customFormat="1" ht="36" customHeight="1"/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41" t="s">
        <v>34</v>
      </c>
      <c r="B19" s="174" t="s">
        <v>71</v>
      </c>
      <c r="C19" s="174"/>
      <c r="D19" s="174"/>
      <c r="E19" s="141" t="s">
        <v>100</v>
      </c>
      <c r="F19" s="141" t="s">
        <v>102</v>
      </c>
      <c r="G19" s="141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316</v>
      </c>
      <c r="F20" s="144" t="s">
        <v>252</v>
      </c>
      <c r="G20" s="144"/>
      <c r="H20" s="61"/>
    </row>
    <row r="21" spans="1:8" s="58" customFormat="1" ht="16.5">
      <c r="A21" s="60">
        <v>2</v>
      </c>
      <c r="B21" s="201" t="s">
        <v>315</v>
      </c>
      <c r="C21" s="201"/>
      <c r="D21" s="201"/>
      <c r="E21" s="200"/>
      <c r="F21" s="144"/>
      <c r="G21" s="144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6">
    <mergeCell ref="D23:G23"/>
    <mergeCell ref="A1:H1"/>
    <mergeCell ref="B19:D19"/>
    <mergeCell ref="B20:D20"/>
    <mergeCell ref="E20:E21"/>
    <mergeCell ref="B21:D21"/>
  </mergeCells>
  <pageMargins left="0.7" right="0.7" top="0.75" bottom="0.75" header="0.3" footer="0.3"/>
  <pageSetup paperSize="9" scale="67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zoomScale="89" zoomScaleNormal="89" workbookViewId="0">
      <selection activeCell="C16" sqref="C16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317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314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274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42" t="s">
        <v>110</v>
      </c>
      <c r="D11" s="79" t="s">
        <v>113</v>
      </c>
      <c r="E11" s="83">
        <v>1</v>
      </c>
      <c r="F11" s="81"/>
      <c r="G11" s="144" t="s">
        <v>114</v>
      </c>
    </row>
    <row r="12" spans="1:9" s="50" customFormat="1" ht="16.5">
      <c r="A12" s="49">
        <v>3</v>
      </c>
      <c r="B12" s="142" t="s">
        <v>241</v>
      </c>
      <c r="C12" s="142" t="s">
        <v>242</v>
      </c>
      <c r="D12" s="79" t="s">
        <v>113</v>
      </c>
      <c r="E12" s="83">
        <v>1</v>
      </c>
      <c r="F12" s="81"/>
      <c r="G12" s="144" t="s">
        <v>114</v>
      </c>
    </row>
    <row r="13" spans="1:9" s="50" customFormat="1" ht="33">
      <c r="A13" s="49">
        <v>4</v>
      </c>
      <c r="B13" s="142" t="s">
        <v>318</v>
      </c>
      <c r="C13" s="142" t="s">
        <v>318</v>
      </c>
      <c r="D13" s="79" t="s">
        <v>113</v>
      </c>
      <c r="E13" s="83">
        <v>1</v>
      </c>
      <c r="F13" s="81"/>
      <c r="G13" s="144" t="s">
        <v>114</v>
      </c>
    </row>
    <row r="14" spans="1:9" s="50" customFormat="1" ht="33">
      <c r="A14" s="49">
        <v>5</v>
      </c>
      <c r="B14" s="142" t="s">
        <v>319</v>
      </c>
      <c r="C14" s="142" t="s">
        <v>319</v>
      </c>
      <c r="D14" s="79" t="s">
        <v>113</v>
      </c>
      <c r="E14" s="83">
        <v>1</v>
      </c>
      <c r="F14" s="81"/>
      <c r="G14" s="144" t="s">
        <v>114</v>
      </c>
    </row>
    <row r="15" spans="1:9" s="54" customFormat="1" ht="15.75">
      <c r="A15" s="52"/>
      <c r="B15" s="49" t="s">
        <v>74</v>
      </c>
      <c r="C15" s="52"/>
      <c r="D15" s="52"/>
      <c r="E15" s="53">
        <f>AVERAGE(E11:E14)</f>
        <v>1</v>
      </c>
      <c r="F15" s="53"/>
      <c r="G15" s="70"/>
    </row>
    <row r="16" spans="1:9" s="54" customFormat="1" ht="15.75">
      <c r="A16" s="55"/>
      <c r="B16" s="74"/>
      <c r="C16" s="74"/>
      <c r="D16" s="74"/>
      <c r="E16" s="75"/>
      <c r="F16" s="75"/>
      <c r="G16" s="76"/>
    </row>
    <row r="17" spans="1:7" s="58" customFormat="1" ht="15.75">
      <c r="A17" s="55" t="s">
        <v>75</v>
      </c>
      <c r="B17" s="56" t="s">
        <v>76</v>
      </c>
      <c r="E17" s="57"/>
      <c r="F17" s="57"/>
      <c r="G17" s="57"/>
    </row>
    <row r="19" spans="1:7" s="58" customFormat="1" ht="47.25">
      <c r="A19" s="141" t="s">
        <v>6</v>
      </c>
      <c r="B19" s="174" t="s">
        <v>71</v>
      </c>
      <c r="C19" s="174"/>
      <c r="D19" s="174"/>
      <c r="E19" s="141" t="s">
        <v>92</v>
      </c>
      <c r="F19" s="141" t="s">
        <v>87</v>
      </c>
      <c r="G19" s="141" t="s">
        <v>70</v>
      </c>
    </row>
    <row r="20" spans="1:7" s="61" customFormat="1" ht="16.5">
      <c r="A20" s="107">
        <v>1</v>
      </c>
      <c r="B20" s="193" t="s">
        <v>77</v>
      </c>
      <c r="C20" s="193"/>
      <c r="D20" s="193"/>
      <c r="E20" s="60">
        <v>9</v>
      </c>
      <c r="F20" s="60"/>
      <c r="G20" s="60"/>
    </row>
    <row r="21" spans="1:7" s="61" customFormat="1" ht="16.5">
      <c r="A21" s="107">
        <v>2</v>
      </c>
      <c r="B21" s="193" t="s">
        <v>78</v>
      </c>
      <c r="C21" s="193"/>
      <c r="D21" s="193"/>
      <c r="E21" s="60">
        <v>9</v>
      </c>
      <c r="F21" s="60"/>
      <c r="G21" s="60"/>
    </row>
    <row r="22" spans="1:7" s="61" customFormat="1" ht="16.5">
      <c r="A22" s="107">
        <v>3</v>
      </c>
      <c r="B22" s="192" t="s">
        <v>79</v>
      </c>
      <c r="C22" s="192"/>
      <c r="D22" s="192"/>
      <c r="E22" s="60">
        <v>7</v>
      </c>
      <c r="F22" s="60"/>
      <c r="G22" s="60"/>
    </row>
    <row r="23" spans="1:7" s="61" customFormat="1" ht="16.5">
      <c r="A23" s="107">
        <v>4</v>
      </c>
      <c r="B23" s="192" t="s">
        <v>80</v>
      </c>
      <c r="C23" s="192"/>
      <c r="D23" s="192"/>
      <c r="E23" s="60">
        <v>9</v>
      </c>
      <c r="F23" s="60"/>
      <c r="G23" s="60"/>
    </row>
    <row r="24" spans="1:7" s="61" customFormat="1" ht="16.5">
      <c r="A24" s="107">
        <v>5</v>
      </c>
      <c r="B24" s="193" t="s">
        <v>81</v>
      </c>
      <c r="C24" s="193"/>
      <c r="D24" s="193"/>
      <c r="E24" s="60">
        <v>9</v>
      </c>
      <c r="F24" s="60"/>
      <c r="G24" s="60"/>
    </row>
    <row r="25" spans="1:7">
      <c r="A25" s="65"/>
      <c r="B25" s="194" t="s">
        <v>74</v>
      </c>
      <c r="C25" s="194"/>
      <c r="D25" s="194"/>
      <c r="E25" s="143"/>
      <c r="F25" s="143"/>
      <c r="G25" s="65"/>
    </row>
    <row r="26" spans="1:7" ht="17.25" customHeight="1">
      <c r="B26" s="77"/>
      <c r="C26" s="77"/>
      <c r="D26" s="77"/>
      <c r="E26" s="77"/>
      <c r="F26" s="77"/>
    </row>
    <row r="27" spans="1:7" s="61" customFormat="1" ht="16.5">
      <c r="A27" s="67" t="s">
        <v>85</v>
      </c>
      <c r="E27" s="68"/>
      <c r="F27" s="68"/>
      <c r="G27" s="68"/>
    </row>
    <row r="28" spans="1:7" s="61" customFormat="1" ht="16.5">
      <c r="A28" s="69" t="s">
        <v>82</v>
      </c>
      <c r="E28" s="68"/>
      <c r="F28" s="68"/>
      <c r="G28" s="68"/>
    </row>
    <row r="29" spans="1:7" s="61" customFormat="1" ht="16.5">
      <c r="A29" s="69" t="s">
        <v>83</v>
      </c>
      <c r="E29" s="68"/>
      <c r="F29" s="68"/>
      <c r="G29" s="68"/>
    </row>
    <row r="30" spans="1:7" s="61" customFormat="1" ht="16.5">
      <c r="A30" s="69" t="s">
        <v>83</v>
      </c>
      <c r="E30" s="68"/>
      <c r="F30" s="68"/>
      <c r="G30" s="68"/>
    </row>
    <row r="31" spans="1:7" s="61" customFormat="1" ht="16.5">
      <c r="A31" s="69" t="s">
        <v>83</v>
      </c>
      <c r="E31" s="68"/>
      <c r="F31" s="68"/>
      <c r="G31" s="68"/>
    </row>
    <row r="32" spans="1:7" s="61" customFormat="1" ht="16.5">
      <c r="A32" s="69"/>
      <c r="E32" s="68"/>
      <c r="F32" s="68"/>
      <c r="G32" s="68"/>
    </row>
    <row r="33" spans="1:7" s="61" customFormat="1" ht="16.5">
      <c r="A33" s="67" t="s">
        <v>86</v>
      </c>
      <c r="E33" s="68"/>
      <c r="F33" s="68"/>
      <c r="G33" s="68"/>
    </row>
    <row r="34" spans="1:7" s="61" customFormat="1" ht="16.5">
      <c r="A34" s="69" t="s">
        <v>82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 t="s">
        <v>83</v>
      </c>
      <c r="E36" s="68"/>
      <c r="F36" s="68"/>
      <c r="G36" s="68"/>
    </row>
    <row r="37" spans="1:7" s="61" customFormat="1" ht="16.5">
      <c r="A37" s="69" t="s">
        <v>83</v>
      </c>
      <c r="E37" s="68"/>
      <c r="F37" s="68"/>
      <c r="G37" s="68"/>
    </row>
    <row r="38" spans="1:7" s="61" customFormat="1" ht="16.5">
      <c r="E38" s="68"/>
      <c r="F38" s="68"/>
      <c r="G38" s="68"/>
    </row>
    <row r="39" spans="1:7" s="72" customFormat="1" ht="18.75" customHeight="1">
      <c r="A39" s="71"/>
      <c r="B39" s="71" t="s">
        <v>89</v>
      </c>
      <c r="C39" s="73" t="s">
        <v>90</v>
      </c>
      <c r="D39" s="173" t="s">
        <v>7</v>
      </c>
      <c r="E39" s="173"/>
      <c r="F39" s="173"/>
      <c r="G39" s="173"/>
    </row>
    <row r="40" spans="1:7" s="61" customFormat="1" ht="16.5">
      <c r="A40" s="68"/>
      <c r="B40" s="68" t="s">
        <v>199</v>
      </c>
      <c r="E40" s="68"/>
      <c r="F40" s="68"/>
      <c r="G40" s="68"/>
    </row>
    <row r="41" spans="1:7" s="61" customFormat="1" ht="16.5">
      <c r="A41" s="68"/>
      <c r="B41" s="68" t="s">
        <v>200</v>
      </c>
      <c r="E41" s="68"/>
      <c r="F41" s="68"/>
      <c r="G41" s="68"/>
    </row>
    <row r="42" spans="1:7" s="61" customFormat="1" ht="16.5">
      <c r="A42" s="68"/>
      <c r="E42" s="68"/>
      <c r="F42" s="68"/>
      <c r="G42" s="68"/>
    </row>
    <row r="43" spans="1:7" s="61" customFormat="1" ht="16.5">
      <c r="A43" s="68"/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  <row r="53" spans="1:7" s="61" customFormat="1" ht="16.5">
      <c r="A53" s="68"/>
      <c r="E53" s="68"/>
      <c r="F53" s="68"/>
      <c r="G53" s="68"/>
    </row>
  </sheetData>
  <mergeCells count="9">
    <mergeCell ref="B24:D24"/>
    <mergeCell ref="B25:D25"/>
    <mergeCell ref="D39:G39"/>
    <mergeCell ref="A1:G1"/>
    <mergeCell ref="B19:D19"/>
    <mergeCell ref="B20:D20"/>
    <mergeCell ref="B21:D21"/>
    <mergeCell ref="B22:D22"/>
    <mergeCell ref="B23:D23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view="pageBreakPreview" zoomScale="115" zoomScaleNormal="89" zoomScaleSheetLayoutView="115" workbookViewId="0">
      <selection activeCell="F12" sqref="F12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326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327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49" t="s">
        <v>110</v>
      </c>
      <c r="D11" s="79" t="s">
        <v>113</v>
      </c>
      <c r="E11" s="83">
        <v>1</v>
      </c>
      <c r="F11" s="81"/>
      <c r="G11" s="150"/>
      <c r="H11" s="150" t="s">
        <v>114</v>
      </c>
    </row>
    <row r="12" spans="1:9" s="50" customFormat="1" ht="16.5">
      <c r="A12" s="49">
        <v>3</v>
      </c>
      <c r="B12" s="149" t="s">
        <v>241</v>
      </c>
      <c r="C12" s="149" t="s">
        <v>242</v>
      </c>
      <c r="D12" s="79" t="s">
        <v>113</v>
      </c>
      <c r="E12" s="83">
        <v>1</v>
      </c>
      <c r="F12" s="81"/>
      <c r="G12" s="150"/>
      <c r="H12" s="150" t="s">
        <v>114</v>
      </c>
    </row>
    <row r="13" spans="1:9" s="50" customFormat="1" ht="16.5">
      <c r="A13" s="49">
        <v>4</v>
      </c>
      <c r="B13" s="149" t="s">
        <v>325</v>
      </c>
      <c r="C13" s="149" t="s">
        <v>325</v>
      </c>
      <c r="D13" s="79" t="s">
        <v>172</v>
      </c>
      <c r="E13" s="83">
        <v>0.4</v>
      </c>
      <c r="F13" s="81"/>
      <c r="G13" s="150"/>
      <c r="H13" s="150" t="s">
        <v>114</v>
      </c>
    </row>
    <row r="14" spans="1:9" s="50" customFormat="1" ht="16.5">
      <c r="A14" s="49"/>
      <c r="B14" s="149"/>
      <c r="C14" s="149"/>
      <c r="D14" s="79"/>
      <c r="E14" s="83"/>
      <c r="F14" s="81"/>
      <c r="G14" s="150"/>
      <c r="H14" s="150"/>
    </row>
    <row r="15" spans="1:9" s="50" customFormat="1" ht="15.75">
      <c r="A15" s="52"/>
      <c r="B15" s="49" t="s">
        <v>101</v>
      </c>
      <c r="C15" s="80"/>
      <c r="D15" s="52"/>
      <c r="E15" s="83">
        <f>AVERAGE(E11:E13)</f>
        <v>0.79999999999999993</v>
      </c>
      <c r="F15" s="53"/>
      <c r="G15" s="70"/>
      <c r="H15" s="70"/>
    </row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48" t="s">
        <v>34</v>
      </c>
      <c r="B19" s="174" t="s">
        <v>71</v>
      </c>
      <c r="C19" s="174"/>
      <c r="D19" s="174"/>
      <c r="E19" s="148" t="s">
        <v>100</v>
      </c>
      <c r="F19" s="148" t="s">
        <v>102</v>
      </c>
      <c r="G19" s="148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329</v>
      </c>
      <c r="F20" s="150" t="s">
        <v>252</v>
      </c>
      <c r="G20" s="150"/>
      <c r="H20" s="61"/>
    </row>
    <row r="21" spans="1:8" s="58" customFormat="1" ht="16.5">
      <c r="A21" s="60">
        <v>2</v>
      </c>
      <c r="B21" s="181" t="s">
        <v>328</v>
      </c>
      <c r="C21" s="182"/>
      <c r="D21" s="183"/>
      <c r="E21" s="200"/>
      <c r="F21" s="150"/>
      <c r="G21" s="150"/>
      <c r="H21" s="61"/>
    </row>
    <row r="22" spans="1:8" s="58" customFormat="1" ht="16.5">
      <c r="A22" s="60">
        <v>3</v>
      </c>
      <c r="B22" s="201" t="s">
        <v>325</v>
      </c>
      <c r="C22" s="201"/>
      <c r="D22" s="201"/>
      <c r="E22" s="200"/>
      <c r="F22" s="150"/>
      <c r="G22" s="150"/>
      <c r="H22" s="61"/>
    </row>
    <row r="23" spans="1:8" s="58" customFormat="1" ht="20.25" customHeight="1">
      <c r="A23" s="114"/>
      <c r="B23" s="114"/>
      <c r="C23" s="114"/>
      <c r="D23" s="114"/>
      <c r="E23" s="115"/>
      <c r="F23" s="116"/>
      <c r="G23" s="116"/>
      <c r="H23" s="43"/>
    </row>
    <row r="24" spans="1:8" s="61" customFormat="1" ht="16.5">
      <c r="A24" s="71"/>
      <c r="B24" s="71" t="s">
        <v>89</v>
      </c>
      <c r="C24" s="73" t="s">
        <v>90</v>
      </c>
      <c r="D24" s="173" t="s">
        <v>7</v>
      </c>
      <c r="E24" s="173"/>
      <c r="F24" s="173"/>
      <c r="G24" s="173"/>
      <c r="H24" s="72"/>
    </row>
    <row r="25" spans="1:8" s="61" customFormat="1" ht="16.5">
      <c r="A25" s="68"/>
      <c r="E25" s="68"/>
      <c r="F25" s="68"/>
      <c r="G25" s="68"/>
      <c r="H25" s="68"/>
    </row>
    <row r="26" spans="1:8" ht="17.25" customHeight="1">
      <c r="A26" s="68"/>
      <c r="B26" s="68" t="s">
        <v>199</v>
      </c>
      <c r="C26" s="61"/>
      <c r="D26" s="61"/>
      <c r="E26" s="68"/>
      <c r="F26" s="68"/>
      <c r="G26" s="68"/>
      <c r="H26" s="68"/>
    </row>
    <row r="27" spans="1:8" s="72" customFormat="1" ht="18.75" customHeight="1">
      <c r="A27" s="68"/>
      <c r="B27" s="68" t="s">
        <v>200</v>
      </c>
      <c r="C27" s="61"/>
      <c r="D27" s="61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</sheetData>
  <mergeCells count="7">
    <mergeCell ref="D24:G24"/>
    <mergeCell ref="B21:D21"/>
    <mergeCell ref="A1:H1"/>
    <mergeCell ref="B19:D19"/>
    <mergeCell ref="B20:D20"/>
    <mergeCell ref="E20:E22"/>
    <mergeCell ref="B22:D22"/>
  </mergeCells>
  <pageMargins left="0.7" right="0.7" top="0.75" bottom="0.75" header="0.3" footer="0.3"/>
  <pageSetup paperSize="9" scale="67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topLeftCell="A7" zoomScale="115" zoomScaleNormal="89" zoomScaleSheetLayoutView="115" workbookViewId="0">
      <selection activeCell="D10" sqref="D10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330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331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52" t="s">
        <v>110</v>
      </c>
      <c r="D11" s="79" t="s">
        <v>113</v>
      </c>
      <c r="E11" s="83">
        <v>1</v>
      </c>
      <c r="F11" s="81"/>
      <c r="G11" s="153"/>
      <c r="H11" s="153" t="s">
        <v>114</v>
      </c>
    </row>
    <row r="12" spans="1:9" s="50" customFormat="1" ht="16.5">
      <c r="A12" s="49">
        <v>3</v>
      </c>
      <c r="B12" s="152" t="s">
        <v>332</v>
      </c>
      <c r="C12" s="152" t="s">
        <v>332</v>
      </c>
      <c r="D12" s="79" t="s">
        <v>172</v>
      </c>
      <c r="E12" s="83">
        <v>0.9</v>
      </c>
      <c r="F12" s="81"/>
      <c r="G12" s="153"/>
      <c r="H12" s="153" t="s">
        <v>114</v>
      </c>
    </row>
    <row r="13" spans="1:9" s="50" customFormat="1" ht="16.5">
      <c r="A13" s="49">
        <v>4</v>
      </c>
      <c r="B13" s="152" t="s">
        <v>328</v>
      </c>
      <c r="C13" s="152" t="s">
        <v>328</v>
      </c>
      <c r="D13" s="79" t="s">
        <v>113</v>
      </c>
      <c r="E13" s="83">
        <v>1</v>
      </c>
      <c r="F13" s="81"/>
      <c r="G13" s="153"/>
      <c r="H13" s="153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0.96666666666666667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51" t="s">
        <v>34</v>
      </c>
      <c r="B18" s="174" t="s">
        <v>71</v>
      </c>
      <c r="C18" s="174"/>
      <c r="D18" s="174"/>
      <c r="E18" s="151" t="s">
        <v>100</v>
      </c>
      <c r="F18" s="151" t="s">
        <v>102</v>
      </c>
      <c r="G18" s="151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200" t="s">
        <v>337</v>
      </c>
      <c r="F19" s="153" t="s">
        <v>252</v>
      </c>
      <c r="G19" s="153"/>
      <c r="H19" s="61"/>
    </row>
    <row r="20" spans="1:8" s="58" customFormat="1" ht="16.5">
      <c r="A20" s="60">
        <v>2</v>
      </c>
      <c r="B20" s="181" t="s">
        <v>333</v>
      </c>
      <c r="C20" s="182"/>
      <c r="D20" s="183"/>
      <c r="E20" s="200"/>
      <c r="F20" s="153"/>
      <c r="G20" s="153"/>
      <c r="H20" s="61"/>
    </row>
    <row r="21" spans="1:8" s="58" customFormat="1" ht="16.5">
      <c r="A21" s="60">
        <v>3</v>
      </c>
      <c r="B21" s="181" t="s">
        <v>335</v>
      </c>
      <c r="C21" s="182"/>
      <c r="D21" s="183"/>
      <c r="E21" s="200"/>
      <c r="F21" s="153"/>
      <c r="G21" s="153"/>
      <c r="H21" s="61"/>
    </row>
    <row r="22" spans="1:8" s="58" customFormat="1" ht="16.5">
      <c r="A22" s="60">
        <v>4</v>
      </c>
      <c r="B22" s="181" t="s">
        <v>336</v>
      </c>
      <c r="C22" s="182"/>
      <c r="D22" s="183"/>
      <c r="E22" s="200"/>
      <c r="F22" s="153"/>
      <c r="G22" s="153"/>
      <c r="H22" s="61"/>
    </row>
    <row r="23" spans="1:8" s="58" customFormat="1" ht="16.5">
      <c r="A23" s="60">
        <v>4</v>
      </c>
      <c r="B23" s="201" t="s">
        <v>334</v>
      </c>
      <c r="C23" s="201"/>
      <c r="D23" s="201"/>
      <c r="E23" s="200"/>
      <c r="F23" s="153"/>
      <c r="G23" s="153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9">
    <mergeCell ref="D25:G25"/>
    <mergeCell ref="B21:D21"/>
    <mergeCell ref="B22:D22"/>
    <mergeCell ref="A1:H1"/>
    <mergeCell ref="B18:D18"/>
    <mergeCell ref="B19:D19"/>
    <mergeCell ref="E19:E23"/>
    <mergeCell ref="B20:D20"/>
    <mergeCell ref="B23:D23"/>
  </mergeCells>
  <pageMargins left="0.7" right="0.7" top="0.75" bottom="0.75" header="0.3" footer="0.3"/>
  <pageSetup paperSize="9" scale="67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view="pageBreakPreview" zoomScale="115" zoomScaleNormal="89" zoomScaleSheetLayoutView="115" workbookViewId="0">
      <selection activeCell="B5" sqref="B5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320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321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46" t="s">
        <v>110</v>
      </c>
      <c r="D11" s="79" t="s">
        <v>113</v>
      </c>
      <c r="E11" s="83">
        <v>1</v>
      </c>
      <c r="F11" s="81"/>
      <c r="G11" s="147"/>
      <c r="H11" s="147" t="s">
        <v>114</v>
      </c>
    </row>
    <row r="12" spans="1:9" s="50" customFormat="1" ht="16.5">
      <c r="A12" s="49">
        <v>3</v>
      </c>
      <c r="B12" s="146" t="s">
        <v>241</v>
      </c>
      <c r="C12" s="146" t="s">
        <v>242</v>
      </c>
      <c r="D12" s="79" t="s">
        <v>113</v>
      </c>
      <c r="E12" s="83">
        <v>1</v>
      </c>
      <c r="F12" s="81"/>
      <c r="G12" s="147"/>
      <c r="H12" s="147" t="s">
        <v>114</v>
      </c>
    </row>
    <row r="13" spans="1:9" s="50" customFormat="1" ht="33">
      <c r="A13" s="49">
        <v>4</v>
      </c>
      <c r="B13" s="146" t="s">
        <v>322</v>
      </c>
      <c r="C13" s="146" t="s">
        <v>322</v>
      </c>
      <c r="D13" s="79" t="s">
        <v>113</v>
      </c>
      <c r="E13" s="83">
        <v>1</v>
      </c>
      <c r="F13" s="81"/>
      <c r="G13" s="147"/>
      <c r="H13" s="147" t="s">
        <v>114</v>
      </c>
    </row>
    <row r="14" spans="1:9" s="50" customFormat="1" ht="16.5">
      <c r="A14" s="49">
        <v>5</v>
      </c>
      <c r="B14" s="146" t="s">
        <v>323</v>
      </c>
      <c r="C14" s="146" t="s">
        <v>323</v>
      </c>
      <c r="D14" s="79" t="s">
        <v>113</v>
      </c>
      <c r="E14" s="83">
        <v>1</v>
      </c>
      <c r="F14" s="81"/>
      <c r="G14" s="147"/>
      <c r="H14" s="147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AVERAGE(E11:E14)</f>
        <v>1</v>
      </c>
      <c r="F15" s="53"/>
      <c r="G15" s="70"/>
      <c r="H15" s="70"/>
    </row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45" t="s">
        <v>34</v>
      </c>
      <c r="B19" s="174" t="s">
        <v>71</v>
      </c>
      <c r="C19" s="174"/>
      <c r="D19" s="174"/>
      <c r="E19" s="145" t="s">
        <v>100</v>
      </c>
      <c r="F19" s="145" t="s">
        <v>102</v>
      </c>
      <c r="G19" s="145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324</v>
      </c>
      <c r="F20" s="147" t="s">
        <v>252</v>
      </c>
      <c r="G20" s="147"/>
      <c r="H20" s="61"/>
    </row>
    <row r="21" spans="1:8" s="58" customFormat="1" ht="16.5">
      <c r="A21" s="60">
        <v>2</v>
      </c>
      <c r="B21" s="201" t="s">
        <v>325</v>
      </c>
      <c r="C21" s="201"/>
      <c r="D21" s="201"/>
      <c r="E21" s="200"/>
      <c r="F21" s="147"/>
      <c r="G21" s="147"/>
      <c r="H21" s="61"/>
    </row>
    <row r="22" spans="1:8" s="58" customFormat="1" ht="20.25" customHeight="1">
      <c r="A22" s="114"/>
      <c r="B22" s="114"/>
      <c r="C22" s="114"/>
      <c r="D22" s="114"/>
      <c r="E22" s="115"/>
      <c r="F22" s="116"/>
      <c r="G22" s="116"/>
      <c r="H22" s="43"/>
    </row>
    <row r="23" spans="1:8" s="61" customFormat="1" ht="16.5">
      <c r="A23" s="71"/>
      <c r="B23" s="71" t="s">
        <v>89</v>
      </c>
      <c r="C23" s="73" t="s">
        <v>90</v>
      </c>
      <c r="D23" s="173" t="s">
        <v>7</v>
      </c>
      <c r="E23" s="173"/>
      <c r="F23" s="173"/>
      <c r="G23" s="173"/>
      <c r="H23" s="72"/>
    </row>
    <row r="24" spans="1:8" s="61" customFormat="1" ht="16.5">
      <c r="A24" s="68"/>
      <c r="E24" s="68"/>
      <c r="F24" s="68"/>
      <c r="G24" s="68"/>
      <c r="H24" s="68"/>
    </row>
    <row r="25" spans="1:8" ht="17.25" customHeight="1">
      <c r="A25" s="68"/>
      <c r="B25" s="68" t="s">
        <v>199</v>
      </c>
      <c r="C25" s="61"/>
      <c r="D25" s="61"/>
      <c r="E25" s="68"/>
      <c r="F25" s="68"/>
      <c r="G25" s="68"/>
      <c r="H25" s="68"/>
    </row>
    <row r="26" spans="1:8" s="72" customFormat="1" ht="18.75" customHeight="1">
      <c r="A26" s="68"/>
      <c r="B26" s="68" t="s">
        <v>200</v>
      </c>
      <c r="C26" s="61"/>
      <c r="D26" s="61"/>
      <c r="E26" s="68"/>
      <c r="F26" s="68"/>
      <c r="G26" s="68"/>
      <c r="H26" s="68"/>
    </row>
    <row r="27" spans="1:8" s="61" customFormat="1" ht="16.5">
      <c r="A27" s="68"/>
      <c r="E27" s="68"/>
      <c r="F27" s="68"/>
      <c r="G27" s="68"/>
      <c r="H27" s="68"/>
    </row>
    <row r="28" spans="1:8" s="61" customFormat="1" ht="16.5">
      <c r="A28" s="68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>
      <c r="A38" s="44"/>
      <c r="B38" s="43"/>
      <c r="C38" s="43"/>
      <c r="D38" s="43"/>
      <c r="E38" s="44"/>
      <c r="F38" s="44"/>
      <c r="G38" s="44"/>
      <c r="H38" s="44"/>
    </row>
    <row r="39" spans="1:8" s="61" customFormat="1">
      <c r="A39" s="44"/>
      <c r="B39" s="43"/>
      <c r="C39" s="43"/>
      <c r="D39" s="43"/>
      <c r="E39" s="44"/>
      <c r="F39" s="44"/>
      <c r="G39" s="44"/>
      <c r="H39" s="44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</sheetData>
  <mergeCells count="6">
    <mergeCell ref="D23:G23"/>
    <mergeCell ref="A1:H1"/>
    <mergeCell ref="B19:D19"/>
    <mergeCell ref="B20:D20"/>
    <mergeCell ref="E20:E21"/>
    <mergeCell ref="B21:D21"/>
  </mergeCells>
  <pageMargins left="0.7" right="0.7" top="0.75" bottom="0.75" header="0.3" footer="0.3"/>
  <pageSetup paperSize="9" scale="67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zoomScale="115" zoomScaleNormal="89" zoomScaleSheetLayoutView="115" workbookViewId="0">
      <selection activeCell="D5" sqref="A1:XFD1048576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338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339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55" t="s">
        <v>110</v>
      </c>
      <c r="D11" s="79" t="s">
        <v>113</v>
      </c>
      <c r="E11" s="83">
        <v>1</v>
      </c>
      <c r="F11" s="81"/>
      <c r="G11" s="157"/>
      <c r="H11" s="157" t="s">
        <v>114</v>
      </c>
    </row>
    <row r="12" spans="1:9" s="50" customFormat="1" ht="16.5">
      <c r="A12" s="49">
        <v>3</v>
      </c>
      <c r="B12" s="155" t="s">
        <v>332</v>
      </c>
      <c r="C12" s="155" t="s">
        <v>332</v>
      </c>
      <c r="D12" s="79" t="s">
        <v>172</v>
      </c>
      <c r="E12" s="83">
        <v>0.9</v>
      </c>
      <c r="F12" s="81"/>
      <c r="G12" s="157"/>
      <c r="H12" s="157" t="s">
        <v>114</v>
      </c>
    </row>
    <row r="13" spans="1:9" s="50" customFormat="1" ht="16.5">
      <c r="A13" s="49">
        <v>4</v>
      </c>
      <c r="B13" s="155" t="s">
        <v>340</v>
      </c>
      <c r="C13" s="155" t="s">
        <v>340</v>
      </c>
      <c r="D13" s="79" t="s">
        <v>172</v>
      </c>
      <c r="E13" s="83">
        <v>0.9</v>
      </c>
      <c r="F13" s="81"/>
      <c r="G13" s="157"/>
      <c r="H13" s="157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0.93333333333333324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54" t="s">
        <v>34</v>
      </c>
      <c r="B18" s="174" t="s">
        <v>71</v>
      </c>
      <c r="C18" s="174"/>
      <c r="D18" s="174"/>
      <c r="E18" s="154" t="s">
        <v>100</v>
      </c>
      <c r="F18" s="154" t="s">
        <v>102</v>
      </c>
      <c r="G18" s="154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200" t="s">
        <v>341</v>
      </c>
      <c r="F19" s="157" t="s">
        <v>252</v>
      </c>
      <c r="G19" s="157"/>
      <c r="H19" s="61"/>
    </row>
    <row r="20" spans="1:8" s="58" customFormat="1" ht="16.5">
      <c r="A20" s="60">
        <v>2</v>
      </c>
      <c r="B20" s="181" t="s">
        <v>333</v>
      </c>
      <c r="C20" s="182"/>
      <c r="D20" s="183"/>
      <c r="E20" s="200"/>
      <c r="F20" s="157"/>
      <c r="G20" s="157"/>
      <c r="H20" s="61"/>
    </row>
    <row r="21" spans="1:8" s="58" customFormat="1" ht="16.5">
      <c r="A21" s="60">
        <v>3</v>
      </c>
      <c r="B21" s="181" t="s">
        <v>335</v>
      </c>
      <c r="C21" s="182"/>
      <c r="D21" s="183"/>
      <c r="E21" s="200"/>
      <c r="F21" s="157"/>
      <c r="G21" s="157"/>
      <c r="H21" s="61"/>
    </row>
    <row r="22" spans="1:8" s="58" customFormat="1" ht="16.5">
      <c r="A22" s="60">
        <v>4</v>
      </c>
      <c r="B22" s="181" t="s">
        <v>336</v>
      </c>
      <c r="C22" s="182"/>
      <c r="D22" s="183"/>
      <c r="E22" s="200"/>
      <c r="F22" s="157"/>
      <c r="G22" s="157"/>
      <c r="H22" s="61"/>
    </row>
    <row r="23" spans="1:8" s="58" customFormat="1" ht="16.5">
      <c r="A23" s="60">
        <v>4</v>
      </c>
      <c r="B23" s="201" t="s">
        <v>334</v>
      </c>
      <c r="C23" s="201"/>
      <c r="D23" s="201"/>
      <c r="E23" s="200"/>
      <c r="F23" s="157"/>
      <c r="G23" s="157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9">
    <mergeCell ref="D25:G25"/>
    <mergeCell ref="A1:H1"/>
    <mergeCell ref="B18:D18"/>
    <mergeCell ref="B19:D19"/>
    <mergeCell ref="E19:E23"/>
    <mergeCell ref="B20:D20"/>
    <mergeCell ref="B21:D21"/>
    <mergeCell ref="B22:D22"/>
    <mergeCell ref="B23:D23"/>
  </mergeCells>
  <pageMargins left="0.7" right="0.7" top="0.75" bottom="0.75" header="0.3" footer="0.3"/>
  <pageSetup paperSize="9" scale="67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topLeftCell="A4" zoomScale="89" zoomScaleNormal="89" workbookViewId="0">
      <selection activeCell="C7" sqref="C7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346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339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347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55" t="s">
        <v>110</v>
      </c>
      <c r="D11" s="79" t="s">
        <v>113</v>
      </c>
      <c r="E11" s="83">
        <v>1</v>
      </c>
      <c r="F11" s="81"/>
      <c r="G11" s="157" t="s">
        <v>114</v>
      </c>
    </row>
    <row r="12" spans="1:9" s="50" customFormat="1" ht="16.5">
      <c r="A12" s="49">
        <v>3</v>
      </c>
      <c r="B12" s="155" t="s">
        <v>241</v>
      </c>
      <c r="C12" s="155" t="s">
        <v>242</v>
      </c>
      <c r="D12" s="79" t="s">
        <v>113</v>
      </c>
      <c r="E12" s="83">
        <v>1</v>
      </c>
      <c r="F12" s="81"/>
      <c r="G12" s="157" t="s">
        <v>114</v>
      </c>
    </row>
    <row r="13" spans="1:9" s="50" customFormat="1" ht="33">
      <c r="A13" s="49">
        <v>4</v>
      </c>
      <c r="B13" s="155" t="s">
        <v>342</v>
      </c>
      <c r="C13" s="155" t="s">
        <v>342</v>
      </c>
      <c r="D13" s="79" t="s">
        <v>113</v>
      </c>
      <c r="E13" s="83">
        <v>1</v>
      </c>
      <c r="F13" s="81"/>
      <c r="G13" s="157" t="s">
        <v>114</v>
      </c>
    </row>
    <row r="14" spans="1:9" s="50" customFormat="1" ht="33">
      <c r="A14" s="49">
        <v>5</v>
      </c>
      <c r="B14" s="155" t="s">
        <v>344</v>
      </c>
      <c r="C14" s="155" t="s">
        <v>344</v>
      </c>
      <c r="D14" s="79" t="s">
        <v>113</v>
      </c>
      <c r="E14" s="83">
        <v>0.9</v>
      </c>
      <c r="F14" s="81"/>
      <c r="G14" s="157" t="s">
        <v>114</v>
      </c>
    </row>
    <row r="15" spans="1:9" s="50" customFormat="1" ht="16.5">
      <c r="A15" s="49">
        <v>6</v>
      </c>
      <c r="B15" s="155" t="s">
        <v>345</v>
      </c>
      <c r="C15" s="155" t="s">
        <v>345</v>
      </c>
      <c r="D15" s="79" t="s">
        <v>113</v>
      </c>
      <c r="E15" s="83">
        <v>0.9</v>
      </c>
      <c r="F15" s="81"/>
      <c r="G15" s="157" t="s">
        <v>114</v>
      </c>
    </row>
    <row r="16" spans="1:9" s="50" customFormat="1" ht="34.5" customHeight="1">
      <c r="A16" s="49">
        <v>6</v>
      </c>
      <c r="B16" s="155" t="s">
        <v>343</v>
      </c>
      <c r="C16" s="155" t="s">
        <v>319</v>
      </c>
      <c r="D16" s="79" t="s">
        <v>113</v>
      </c>
      <c r="E16" s="83">
        <v>1</v>
      </c>
      <c r="F16" s="81"/>
      <c r="G16" s="157" t="s">
        <v>114</v>
      </c>
    </row>
    <row r="17" spans="1:7" s="54" customFormat="1" ht="15.75">
      <c r="A17" s="52"/>
      <c r="B17" s="49" t="s">
        <v>74</v>
      </c>
      <c r="C17" s="52"/>
      <c r="D17" s="52"/>
      <c r="E17" s="53">
        <f>AVERAGE(E11:E16)</f>
        <v>0.96666666666666667</v>
      </c>
      <c r="F17" s="53"/>
      <c r="G17" s="70"/>
    </row>
    <row r="18" spans="1:7" s="54" customFormat="1" ht="15.75">
      <c r="A18" s="55"/>
      <c r="B18" s="74"/>
      <c r="C18" s="74"/>
      <c r="D18" s="74"/>
      <c r="E18" s="75"/>
      <c r="F18" s="75"/>
      <c r="G18" s="76"/>
    </row>
    <row r="19" spans="1:7" s="58" customFormat="1" ht="15.75">
      <c r="A19" s="55" t="s">
        <v>75</v>
      </c>
      <c r="B19" s="56" t="s">
        <v>76</v>
      </c>
      <c r="E19" s="57"/>
      <c r="F19" s="57"/>
      <c r="G19" s="57"/>
    </row>
    <row r="21" spans="1:7" s="58" customFormat="1" ht="47.25">
      <c r="A21" s="154" t="s">
        <v>6</v>
      </c>
      <c r="B21" s="174" t="s">
        <v>71</v>
      </c>
      <c r="C21" s="174"/>
      <c r="D21" s="174"/>
      <c r="E21" s="154" t="s">
        <v>92</v>
      </c>
      <c r="F21" s="154" t="s">
        <v>87</v>
      </c>
      <c r="G21" s="154" t="s">
        <v>70</v>
      </c>
    </row>
    <row r="22" spans="1:7" s="61" customFormat="1" ht="16.5">
      <c r="A22" s="107">
        <v>1</v>
      </c>
      <c r="B22" s="193" t="s">
        <v>77</v>
      </c>
      <c r="C22" s="193"/>
      <c r="D22" s="193"/>
      <c r="E22" s="60">
        <v>9</v>
      </c>
      <c r="F22" s="60"/>
      <c r="G22" s="60"/>
    </row>
    <row r="23" spans="1:7" s="61" customFormat="1" ht="16.5">
      <c r="A23" s="107">
        <v>2</v>
      </c>
      <c r="B23" s="193" t="s">
        <v>78</v>
      </c>
      <c r="C23" s="193"/>
      <c r="D23" s="193"/>
      <c r="E23" s="60">
        <v>9</v>
      </c>
      <c r="F23" s="60"/>
      <c r="G23" s="60"/>
    </row>
    <row r="24" spans="1:7" s="61" customFormat="1" ht="16.5">
      <c r="A24" s="107">
        <v>3</v>
      </c>
      <c r="B24" s="192" t="s">
        <v>79</v>
      </c>
      <c r="C24" s="192"/>
      <c r="D24" s="192"/>
      <c r="E24" s="60">
        <v>7</v>
      </c>
      <c r="F24" s="60"/>
      <c r="G24" s="60"/>
    </row>
    <row r="25" spans="1:7" s="61" customFormat="1" ht="16.5">
      <c r="A25" s="107">
        <v>4</v>
      </c>
      <c r="B25" s="192" t="s">
        <v>80</v>
      </c>
      <c r="C25" s="192"/>
      <c r="D25" s="192"/>
      <c r="E25" s="60">
        <v>9</v>
      </c>
      <c r="F25" s="60"/>
      <c r="G25" s="60"/>
    </row>
    <row r="26" spans="1:7" s="61" customFormat="1" ht="16.5">
      <c r="A26" s="107">
        <v>5</v>
      </c>
      <c r="B26" s="193" t="s">
        <v>81</v>
      </c>
      <c r="C26" s="193"/>
      <c r="D26" s="193"/>
      <c r="E26" s="60">
        <v>9</v>
      </c>
      <c r="F26" s="60"/>
      <c r="G26" s="60"/>
    </row>
    <row r="27" spans="1:7">
      <c r="A27" s="65"/>
      <c r="B27" s="194" t="s">
        <v>74</v>
      </c>
      <c r="C27" s="194"/>
      <c r="D27" s="194"/>
      <c r="E27" s="156"/>
      <c r="F27" s="156"/>
      <c r="G27" s="65"/>
    </row>
    <row r="28" spans="1:7" ht="17.25" customHeight="1">
      <c r="B28" s="77"/>
      <c r="C28" s="77"/>
      <c r="D28" s="77"/>
      <c r="E28" s="77"/>
      <c r="F28" s="77"/>
    </row>
    <row r="29" spans="1:7" s="61" customFormat="1" ht="16.5">
      <c r="A29" s="67" t="s">
        <v>85</v>
      </c>
      <c r="E29" s="68"/>
      <c r="F29" s="68"/>
      <c r="G29" s="68"/>
    </row>
    <row r="30" spans="1:7" s="61" customFormat="1" ht="16.5">
      <c r="A30" s="69" t="s">
        <v>82</v>
      </c>
      <c r="E30" s="68"/>
      <c r="F30" s="68"/>
      <c r="G30" s="68"/>
    </row>
    <row r="31" spans="1:7" s="61" customFormat="1" ht="16.5">
      <c r="A31" s="69" t="s">
        <v>83</v>
      </c>
      <c r="E31" s="68"/>
      <c r="F31" s="68"/>
      <c r="G31" s="68"/>
    </row>
    <row r="32" spans="1:7" s="61" customFormat="1" ht="16.5">
      <c r="A32" s="69" t="s">
        <v>83</v>
      </c>
      <c r="E32" s="68"/>
      <c r="F32" s="68"/>
      <c r="G32" s="68"/>
    </row>
    <row r="33" spans="1:7" s="61" customFormat="1" ht="16.5">
      <c r="A33" s="69" t="s">
        <v>83</v>
      </c>
      <c r="E33" s="68"/>
      <c r="F33" s="68"/>
      <c r="G33" s="68"/>
    </row>
    <row r="34" spans="1:7" s="61" customFormat="1" ht="16.5">
      <c r="A34" s="69"/>
      <c r="E34" s="68"/>
      <c r="F34" s="68"/>
      <c r="G34" s="68"/>
    </row>
    <row r="35" spans="1:7" s="61" customFormat="1" ht="16.5">
      <c r="A35" s="67" t="s">
        <v>86</v>
      </c>
      <c r="E35" s="68"/>
      <c r="F35" s="68"/>
      <c r="G35" s="68"/>
    </row>
    <row r="36" spans="1:7" s="61" customFormat="1" ht="16.5">
      <c r="A36" s="69" t="s">
        <v>82</v>
      </c>
      <c r="E36" s="68"/>
      <c r="F36" s="68"/>
      <c r="G36" s="68"/>
    </row>
    <row r="37" spans="1:7" s="61" customFormat="1" ht="16.5">
      <c r="A37" s="69" t="s">
        <v>83</v>
      </c>
      <c r="E37" s="68"/>
      <c r="F37" s="68"/>
      <c r="G37" s="68"/>
    </row>
    <row r="38" spans="1:7" s="61" customFormat="1" ht="16.5">
      <c r="A38" s="69" t="s">
        <v>83</v>
      </c>
      <c r="E38" s="68"/>
      <c r="F38" s="68"/>
      <c r="G38" s="68"/>
    </row>
    <row r="39" spans="1:7" s="61" customFormat="1" ht="16.5">
      <c r="A39" s="69" t="s">
        <v>83</v>
      </c>
      <c r="E39" s="68"/>
      <c r="F39" s="68"/>
      <c r="G39" s="68"/>
    </row>
    <row r="40" spans="1:7" s="61" customFormat="1" ht="16.5">
      <c r="E40" s="68"/>
      <c r="F40" s="68"/>
      <c r="G40" s="68"/>
    </row>
    <row r="41" spans="1:7" s="72" customFormat="1" ht="18.75" customHeight="1">
      <c r="A41" s="71"/>
      <c r="B41" s="71" t="s">
        <v>89</v>
      </c>
      <c r="C41" s="73" t="s">
        <v>90</v>
      </c>
      <c r="D41" s="173" t="s">
        <v>7</v>
      </c>
      <c r="E41" s="173"/>
      <c r="F41" s="173"/>
      <c r="G41" s="173"/>
    </row>
    <row r="42" spans="1:7" s="61" customFormat="1" ht="16.5">
      <c r="A42" s="68"/>
      <c r="B42" s="68" t="s">
        <v>199</v>
      </c>
      <c r="E42" s="68"/>
      <c r="F42" s="68"/>
      <c r="G42" s="68"/>
    </row>
    <row r="43" spans="1:7" s="61" customFormat="1" ht="16.5">
      <c r="A43" s="68"/>
      <c r="B43" s="68" t="s">
        <v>200</v>
      </c>
      <c r="E43" s="68"/>
      <c r="F43" s="68"/>
      <c r="G43" s="68"/>
    </row>
    <row r="44" spans="1:7" s="61" customFormat="1" ht="16.5">
      <c r="A44" s="68"/>
      <c r="E44" s="68"/>
      <c r="F44" s="68"/>
      <c r="G44" s="68"/>
    </row>
    <row r="45" spans="1:7" s="61" customFormat="1" ht="16.5">
      <c r="A45" s="68"/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  <row r="53" spans="1:7" s="61" customFormat="1" ht="16.5">
      <c r="A53" s="68"/>
      <c r="E53" s="68"/>
      <c r="F53" s="68"/>
      <c r="G53" s="68"/>
    </row>
    <row r="54" spans="1:7" s="61" customFormat="1" ht="16.5">
      <c r="A54" s="68"/>
      <c r="E54" s="68"/>
      <c r="F54" s="68"/>
      <c r="G54" s="68"/>
    </row>
    <row r="55" spans="1:7" s="61" customFormat="1" ht="16.5">
      <c r="A55" s="68"/>
      <c r="E55" s="68"/>
      <c r="F55" s="68"/>
      <c r="G55" s="68"/>
    </row>
  </sheetData>
  <mergeCells count="9">
    <mergeCell ref="B26:D26"/>
    <mergeCell ref="B27:D27"/>
    <mergeCell ref="D41:G41"/>
    <mergeCell ref="A1:G1"/>
    <mergeCell ref="B21:D21"/>
    <mergeCell ref="B22:D22"/>
    <mergeCell ref="B23:D23"/>
    <mergeCell ref="B24:D24"/>
    <mergeCell ref="B25:D25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view="pageBreakPreview" zoomScale="115" zoomScaleNormal="89" zoomScaleSheetLayoutView="115" workbookViewId="0">
      <selection activeCell="F2" sqref="F2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348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349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59" t="s">
        <v>110</v>
      </c>
      <c r="D11" s="79" t="s">
        <v>113</v>
      </c>
      <c r="E11" s="83">
        <v>1</v>
      </c>
      <c r="F11" s="81"/>
      <c r="G11" s="160"/>
      <c r="H11" s="160" t="s">
        <v>114</v>
      </c>
    </row>
    <row r="12" spans="1:9" s="50" customFormat="1" ht="16.5">
      <c r="A12" s="49">
        <v>3</v>
      </c>
      <c r="B12" s="159" t="s">
        <v>332</v>
      </c>
      <c r="C12" s="159" t="s">
        <v>332</v>
      </c>
      <c r="D12" s="79" t="s">
        <v>172</v>
      </c>
      <c r="E12" s="83">
        <v>0.9</v>
      </c>
      <c r="F12" s="81"/>
      <c r="G12" s="160"/>
      <c r="H12" s="160" t="s">
        <v>114</v>
      </c>
    </row>
    <row r="13" spans="1:9" s="50" customFormat="1" ht="16.5">
      <c r="A13" s="49">
        <v>4</v>
      </c>
      <c r="B13" s="159" t="s">
        <v>340</v>
      </c>
      <c r="C13" s="159" t="s">
        <v>340</v>
      </c>
      <c r="D13" s="79" t="s">
        <v>172</v>
      </c>
      <c r="E13" s="83">
        <v>0.9</v>
      </c>
      <c r="F13" s="81"/>
      <c r="G13" s="160"/>
      <c r="H13" s="160" t="s">
        <v>114</v>
      </c>
    </row>
    <row r="14" spans="1:9" s="50" customFormat="1" ht="15.75">
      <c r="A14" s="52"/>
      <c r="B14" s="49" t="s">
        <v>101</v>
      </c>
      <c r="C14" s="80"/>
      <c r="D14" s="52"/>
      <c r="E14" s="83">
        <f>AVERAGE(E11:E13)</f>
        <v>0.93333333333333324</v>
      </c>
      <c r="F14" s="53"/>
      <c r="G14" s="70"/>
      <c r="H14" s="70"/>
    </row>
    <row r="15" spans="1:9" s="50" customFormat="1" ht="15.75">
      <c r="A15" s="55"/>
      <c r="B15" s="74"/>
      <c r="C15" s="74"/>
      <c r="D15" s="74"/>
      <c r="E15" s="75"/>
      <c r="F15" s="75"/>
      <c r="G15" s="76"/>
      <c r="H15" s="76"/>
    </row>
    <row r="16" spans="1:9" s="50" customFormat="1" ht="15.75">
      <c r="A16" s="55" t="s">
        <v>75</v>
      </c>
      <c r="B16" s="56" t="s">
        <v>99</v>
      </c>
      <c r="C16" s="58"/>
      <c r="D16" s="58"/>
      <c r="E16" s="57"/>
      <c r="F16" s="57"/>
      <c r="G16" s="57"/>
      <c r="H16" s="57"/>
    </row>
    <row r="17" spans="1:8" s="54" customFormat="1">
      <c r="A17" s="44"/>
      <c r="B17" s="43"/>
      <c r="C17" s="43"/>
      <c r="D17" s="43"/>
      <c r="E17" s="44"/>
      <c r="F17" s="44"/>
      <c r="G17" s="44"/>
      <c r="H17" s="44"/>
    </row>
    <row r="18" spans="1:8" s="54" customFormat="1" ht="15.75">
      <c r="A18" s="158" t="s">
        <v>34</v>
      </c>
      <c r="B18" s="174" t="s">
        <v>71</v>
      </c>
      <c r="C18" s="174"/>
      <c r="D18" s="174"/>
      <c r="E18" s="158" t="s">
        <v>100</v>
      </c>
      <c r="F18" s="158" t="s">
        <v>102</v>
      </c>
      <c r="G18" s="158" t="s">
        <v>70</v>
      </c>
      <c r="H18" s="58"/>
    </row>
    <row r="19" spans="1:8" s="58" customFormat="1" ht="16.5">
      <c r="A19" s="60">
        <v>1</v>
      </c>
      <c r="B19" s="179" t="s">
        <v>110</v>
      </c>
      <c r="C19" s="179"/>
      <c r="D19" s="179"/>
      <c r="E19" s="200" t="s">
        <v>351</v>
      </c>
      <c r="F19" s="160" t="s">
        <v>252</v>
      </c>
      <c r="G19" s="160"/>
      <c r="H19" s="61"/>
    </row>
    <row r="20" spans="1:8" s="58" customFormat="1" ht="16.5">
      <c r="A20" s="60">
        <v>2</v>
      </c>
      <c r="B20" s="181" t="s">
        <v>333</v>
      </c>
      <c r="C20" s="182"/>
      <c r="D20" s="183"/>
      <c r="E20" s="200"/>
      <c r="F20" s="160"/>
      <c r="G20" s="160"/>
      <c r="H20" s="61"/>
    </row>
    <row r="21" spans="1:8" s="58" customFormat="1" ht="16.5">
      <c r="A21" s="60">
        <v>3</v>
      </c>
      <c r="B21" s="181" t="s">
        <v>335</v>
      </c>
      <c r="C21" s="182"/>
      <c r="D21" s="183"/>
      <c r="E21" s="200"/>
      <c r="F21" s="160"/>
      <c r="G21" s="160"/>
      <c r="H21" s="61"/>
    </row>
    <row r="22" spans="1:8" s="58" customFormat="1" ht="16.5">
      <c r="A22" s="60">
        <v>4</v>
      </c>
      <c r="B22" s="181" t="s">
        <v>350</v>
      </c>
      <c r="C22" s="182"/>
      <c r="D22" s="183"/>
      <c r="E22" s="200"/>
      <c r="F22" s="160"/>
      <c r="G22" s="160"/>
      <c r="H22" s="61"/>
    </row>
    <row r="23" spans="1:8" s="58" customFormat="1" ht="16.5">
      <c r="A23" s="60">
        <v>5</v>
      </c>
      <c r="B23" s="201" t="s">
        <v>334</v>
      </c>
      <c r="C23" s="201"/>
      <c r="D23" s="201"/>
      <c r="E23" s="200"/>
      <c r="F23" s="160"/>
      <c r="G23" s="160"/>
      <c r="H23" s="61"/>
    </row>
    <row r="24" spans="1:8" s="58" customFormat="1" ht="20.25" customHeight="1">
      <c r="A24" s="114"/>
      <c r="B24" s="114"/>
      <c r="C24" s="114"/>
      <c r="D24" s="114"/>
      <c r="E24" s="115"/>
      <c r="F24" s="116"/>
      <c r="G24" s="116"/>
      <c r="H24" s="43"/>
    </row>
    <row r="25" spans="1:8" s="61" customFormat="1" ht="16.5">
      <c r="A25" s="71"/>
      <c r="B25" s="71" t="s">
        <v>89</v>
      </c>
      <c r="C25" s="73" t="s">
        <v>90</v>
      </c>
      <c r="D25" s="173" t="s">
        <v>7</v>
      </c>
      <c r="E25" s="173"/>
      <c r="F25" s="173"/>
      <c r="G25" s="173"/>
      <c r="H25" s="72"/>
    </row>
    <row r="26" spans="1:8" s="61" customFormat="1" ht="16.5">
      <c r="A26" s="68"/>
      <c r="E26" s="68"/>
      <c r="F26" s="68"/>
      <c r="G26" s="68"/>
      <c r="H26" s="68"/>
    </row>
    <row r="27" spans="1:8" ht="17.25" customHeight="1">
      <c r="A27" s="68"/>
      <c r="B27" s="68" t="s">
        <v>199</v>
      </c>
      <c r="C27" s="61"/>
      <c r="D27" s="61"/>
      <c r="E27" s="68"/>
      <c r="F27" s="68"/>
      <c r="G27" s="68"/>
      <c r="H27" s="68"/>
    </row>
    <row r="28" spans="1:8" s="72" customFormat="1" ht="18.75" customHeight="1">
      <c r="A28" s="68"/>
      <c r="B28" s="68" t="s">
        <v>200</v>
      </c>
      <c r="C28" s="61"/>
      <c r="D28" s="61"/>
      <c r="E28" s="68"/>
      <c r="F28" s="68"/>
      <c r="G28" s="68"/>
      <c r="H28" s="68"/>
    </row>
    <row r="29" spans="1:8" s="61" customFormat="1" ht="16.5">
      <c r="A29" s="68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>
      <c r="A40" s="44"/>
      <c r="B40" s="43"/>
      <c r="C40" s="43"/>
      <c r="D40" s="43"/>
      <c r="E40" s="44"/>
      <c r="F40" s="44"/>
      <c r="G40" s="44"/>
      <c r="H40" s="44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</sheetData>
  <mergeCells count="9">
    <mergeCell ref="D25:G25"/>
    <mergeCell ref="A1:H1"/>
    <mergeCell ref="B18:D18"/>
    <mergeCell ref="B19:D19"/>
    <mergeCell ref="E19:E23"/>
    <mergeCell ref="B20:D20"/>
    <mergeCell ref="B21:D21"/>
    <mergeCell ref="B22:D22"/>
    <mergeCell ref="B23:D23"/>
  </mergeCells>
  <pageMargins left="0.7" right="0.7" top="0.75" bottom="0.75" header="0.3" footer="0.3"/>
  <pageSetup paperSize="9" scale="67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view="pageBreakPreview" zoomScale="115" zoomScaleNormal="89" zoomScaleSheetLayoutView="115" workbookViewId="0">
      <selection activeCell="D3" sqref="D3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352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353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62" t="s">
        <v>110</v>
      </c>
      <c r="D11" s="79" t="s">
        <v>113</v>
      </c>
      <c r="E11" s="83">
        <v>1</v>
      </c>
      <c r="F11" s="81"/>
      <c r="G11" s="163"/>
      <c r="H11" s="163" t="s">
        <v>114</v>
      </c>
    </row>
    <row r="12" spans="1:9" s="50" customFormat="1" ht="33">
      <c r="A12" s="49">
        <v>3</v>
      </c>
      <c r="B12" s="162" t="s">
        <v>358</v>
      </c>
      <c r="C12" s="162" t="s">
        <v>358</v>
      </c>
      <c r="D12" s="79" t="s">
        <v>113</v>
      </c>
      <c r="E12" s="83">
        <v>1</v>
      </c>
      <c r="F12" s="81"/>
      <c r="G12" s="163"/>
      <c r="H12" s="163" t="s">
        <v>114</v>
      </c>
    </row>
    <row r="13" spans="1:9" s="50" customFormat="1" ht="19.5" customHeight="1">
      <c r="A13" s="49">
        <v>4</v>
      </c>
      <c r="B13" s="162" t="s">
        <v>350</v>
      </c>
      <c r="C13" s="162" t="s">
        <v>350</v>
      </c>
      <c r="D13" s="79" t="s">
        <v>113</v>
      </c>
      <c r="E13" s="83">
        <v>1</v>
      </c>
      <c r="F13" s="81"/>
      <c r="G13" s="163"/>
      <c r="H13" s="163" t="s">
        <v>114</v>
      </c>
    </row>
    <row r="14" spans="1:9" s="50" customFormat="1" ht="16.5">
      <c r="A14" s="49">
        <v>5</v>
      </c>
      <c r="B14" s="162" t="s">
        <v>340</v>
      </c>
      <c r="C14" s="162" t="s">
        <v>340</v>
      </c>
      <c r="D14" s="79" t="s">
        <v>113</v>
      </c>
      <c r="E14" s="83">
        <v>1</v>
      </c>
      <c r="F14" s="81"/>
      <c r="G14" s="163"/>
      <c r="H14" s="163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AVERAGE(E11:E14)</f>
        <v>1</v>
      </c>
      <c r="F15" s="53"/>
      <c r="G15" s="70"/>
      <c r="H15" s="70"/>
    </row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/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61" t="s">
        <v>34</v>
      </c>
      <c r="B19" s="174" t="s">
        <v>71</v>
      </c>
      <c r="C19" s="174"/>
      <c r="D19" s="174"/>
      <c r="E19" s="161" t="s">
        <v>100</v>
      </c>
      <c r="F19" s="161" t="s">
        <v>102</v>
      </c>
      <c r="G19" s="161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355</v>
      </c>
      <c r="F20" s="163" t="s">
        <v>252</v>
      </c>
      <c r="G20" s="163"/>
      <c r="H20" s="61"/>
    </row>
    <row r="21" spans="1:8" s="58" customFormat="1" ht="16.5">
      <c r="A21" s="60">
        <v>2</v>
      </c>
      <c r="B21" s="181" t="s">
        <v>354</v>
      </c>
      <c r="C21" s="182"/>
      <c r="D21" s="183"/>
      <c r="E21" s="200"/>
      <c r="F21" s="163"/>
      <c r="G21" s="163"/>
      <c r="H21" s="61"/>
    </row>
    <row r="22" spans="1:8" s="58" customFormat="1" ht="16.5">
      <c r="A22" s="60">
        <v>3</v>
      </c>
      <c r="B22" s="181" t="s">
        <v>335</v>
      </c>
      <c r="C22" s="182"/>
      <c r="D22" s="183"/>
      <c r="E22" s="200"/>
      <c r="F22" s="163"/>
      <c r="G22" s="163"/>
      <c r="H22" s="61"/>
    </row>
    <row r="23" spans="1:8" s="58" customFormat="1" ht="16.5">
      <c r="A23" s="60">
        <v>4</v>
      </c>
      <c r="B23" s="181" t="s">
        <v>356</v>
      </c>
      <c r="C23" s="182"/>
      <c r="D23" s="183"/>
      <c r="E23" s="200"/>
      <c r="F23" s="163"/>
      <c r="G23" s="163"/>
      <c r="H23" s="61"/>
    </row>
    <row r="24" spans="1:8" s="58" customFormat="1" ht="16.5">
      <c r="A24" s="60">
        <v>5</v>
      </c>
      <c r="B24" s="201" t="s">
        <v>357</v>
      </c>
      <c r="C24" s="201"/>
      <c r="D24" s="201"/>
      <c r="E24" s="200"/>
      <c r="F24" s="163"/>
      <c r="G24" s="163"/>
      <c r="H24" s="61"/>
    </row>
    <row r="25" spans="1:8" s="58" customFormat="1" ht="20.25" customHeight="1">
      <c r="A25" s="114"/>
      <c r="B25" s="114"/>
      <c r="C25" s="114"/>
      <c r="D25" s="114"/>
      <c r="E25" s="115"/>
      <c r="F25" s="116"/>
      <c r="G25" s="116"/>
      <c r="H25" s="43"/>
    </row>
    <row r="26" spans="1:8" s="61" customFormat="1" ht="16.5">
      <c r="A26" s="71"/>
      <c r="B26" s="71" t="s">
        <v>89</v>
      </c>
      <c r="C26" s="73" t="s">
        <v>90</v>
      </c>
      <c r="D26" s="173" t="s">
        <v>7</v>
      </c>
      <c r="E26" s="173"/>
      <c r="F26" s="173"/>
      <c r="G26" s="173"/>
      <c r="H26" s="72"/>
    </row>
    <row r="27" spans="1:8" s="61" customFormat="1" ht="16.5">
      <c r="A27" s="68"/>
      <c r="E27" s="68"/>
      <c r="F27" s="68"/>
      <c r="G27" s="68"/>
      <c r="H27" s="68"/>
    </row>
    <row r="28" spans="1:8" ht="17.25" customHeight="1">
      <c r="A28" s="68"/>
      <c r="B28" s="68" t="s">
        <v>199</v>
      </c>
      <c r="C28" s="61"/>
      <c r="D28" s="61"/>
      <c r="E28" s="68"/>
      <c r="F28" s="68"/>
      <c r="G28" s="68"/>
      <c r="H28" s="68"/>
    </row>
    <row r="29" spans="1:8" s="72" customFormat="1" ht="18.75" customHeight="1">
      <c r="A29" s="68"/>
      <c r="B29" s="68" t="s">
        <v>200</v>
      </c>
      <c r="C29" s="61"/>
      <c r="D29" s="61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  <row r="43" spans="1:8" s="61" customFormat="1">
      <c r="A43" s="44"/>
      <c r="B43" s="43"/>
      <c r="C43" s="43"/>
      <c r="D43" s="43"/>
      <c r="E43" s="44"/>
      <c r="F43" s="44"/>
      <c r="G43" s="44"/>
      <c r="H43" s="44"/>
    </row>
  </sheetData>
  <mergeCells count="9">
    <mergeCell ref="D26:G26"/>
    <mergeCell ref="A1:H1"/>
    <mergeCell ref="B19:D19"/>
    <mergeCell ref="B20:D20"/>
    <mergeCell ref="E20:E24"/>
    <mergeCell ref="B21:D21"/>
    <mergeCell ref="B22:D22"/>
    <mergeCell ref="B23:D23"/>
    <mergeCell ref="B24:D24"/>
  </mergeCells>
  <pageMargins left="0.7" right="0.7" top="0.75" bottom="0.75" header="0.3" footer="0.3"/>
  <pageSetup paperSize="9" scale="67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view="pageBreakPreview" topLeftCell="A4" zoomScale="115" zoomScaleNormal="89" zoomScaleSheetLayoutView="115" workbookViewId="0">
      <selection activeCell="D5" sqref="D5"/>
    </sheetView>
  </sheetViews>
  <sheetFormatPr defaultColWidth="15.140625" defaultRowHeight="18.75"/>
  <cols>
    <col min="1" max="1" width="5.85546875" style="44" bestFit="1" customWidth="1"/>
    <col min="2" max="2" width="43.7109375" style="43" bestFit="1" customWidth="1"/>
    <col min="3" max="3" width="47.140625" style="43" customWidth="1"/>
    <col min="4" max="4" width="25.28515625" style="43" customWidth="1"/>
    <col min="5" max="5" width="23.28515625" style="44" bestFit="1" customWidth="1"/>
    <col min="6" max="6" width="16.5703125" style="44" bestFit="1" customWidth="1"/>
    <col min="7" max="7" width="19.28515625" style="44" customWidth="1"/>
    <col min="8" max="8" width="13" style="44" customWidth="1"/>
    <col min="9" max="16384" width="15.140625" style="43"/>
  </cols>
  <sheetData>
    <row r="1" spans="1:9" ht="44.25" customHeight="1">
      <c r="A1" s="172" t="s">
        <v>359</v>
      </c>
      <c r="B1" s="172"/>
      <c r="C1" s="172"/>
      <c r="D1" s="172"/>
      <c r="E1" s="172"/>
      <c r="F1" s="172"/>
      <c r="G1" s="172"/>
      <c r="H1" s="172"/>
      <c r="I1" s="45"/>
    </row>
    <row r="2" spans="1:9" s="47" customFormat="1" ht="20.25" customHeight="1">
      <c r="A2" s="46" t="s">
        <v>195</v>
      </c>
      <c r="E2" s="48"/>
      <c r="F2" s="48"/>
      <c r="G2" s="48"/>
      <c r="H2" s="48"/>
    </row>
    <row r="3" spans="1:9" s="47" customFormat="1" ht="20.25" customHeight="1">
      <c r="A3" s="46" t="s">
        <v>104</v>
      </c>
      <c r="E3" s="48"/>
      <c r="F3" s="48"/>
      <c r="G3" s="48"/>
      <c r="H3" s="48"/>
    </row>
    <row r="4" spans="1:9" s="47" customFormat="1" ht="20.25" customHeight="1">
      <c r="A4" s="46" t="s">
        <v>107</v>
      </c>
      <c r="E4" s="48"/>
      <c r="F4" s="48"/>
      <c r="G4" s="48"/>
      <c r="H4" s="48"/>
    </row>
    <row r="5" spans="1:9" s="47" customFormat="1" ht="20.25" customHeight="1">
      <c r="A5" s="46" t="s">
        <v>360</v>
      </c>
      <c r="E5" s="48"/>
      <c r="F5" s="48"/>
      <c r="G5" s="48"/>
      <c r="H5" s="48"/>
    </row>
    <row r="6" spans="1:9" s="47" customFormat="1" ht="0.75" customHeight="1">
      <c r="A6" s="46"/>
      <c r="E6" s="48"/>
      <c r="F6" s="48"/>
      <c r="G6" s="48"/>
      <c r="H6" s="48"/>
    </row>
    <row r="7" spans="1:9" s="47" customFormat="1" ht="20.25" customHeight="1">
      <c r="A7" s="46" t="s">
        <v>93</v>
      </c>
      <c r="E7" s="48"/>
      <c r="F7" s="48"/>
      <c r="G7" s="48"/>
      <c r="H7" s="48"/>
    </row>
    <row r="8" spans="1:9" s="47" customFormat="1" ht="8.25" customHeight="1">
      <c r="A8" s="46"/>
      <c r="E8" s="48"/>
      <c r="F8" s="48"/>
      <c r="G8" s="48"/>
      <c r="H8" s="48"/>
    </row>
    <row r="9" spans="1:9" s="50" customFormat="1" ht="31.5">
      <c r="A9" s="49" t="s">
        <v>34</v>
      </c>
      <c r="B9" s="49" t="s">
        <v>94</v>
      </c>
      <c r="C9" s="49" t="s">
        <v>95</v>
      </c>
      <c r="D9" s="49" t="s">
        <v>88</v>
      </c>
      <c r="E9" s="49" t="s">
        <v>91</v>
      </c>
      <c r="F9" s="49" t="s">
        <v>96</v>
      </c>
      <c r="G9" s="49" t="s">
        <v>97</v>
      </c>
      <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  <c r="H10" s="49"/>
    </row>
    <row r="11" spans="1:9" s="50" customFormat="1" ht="16.5">
      <c r="A11" s="49">
        <v>2</v>
      </c>
      <c r="B11" s="79" t="s">
        <v>110</v>
      </c>
      <c r="C11" s="165" t="s">
        <v>110</v>
      </c>
      <c r="D11" s="79" t="s">
        <v>113</v>
      </c>
      <c r="E11" s="83">
        <v>1</v>
      </c>
      <c r="F11" s="81"/>
      <c r="G11" s="167"/>
      <c r="H11" s="167" t="s">
        <v>114</v>
      </c>
    </row>
    <row r="12" spans="1:9" s="50" customFormat="1" ht="16.5">
      <c r="A12" s="49">
        <v>3</v>
      </c>
      <c r="B12" s="165" t="s">
        <v>361</v>
      </c>
      <c r="C12" s="165" t="s">
        <v>361</v>
      </c>
      <c r="D12" s="79" t="s">
        <v>113</v>
      </c>
      <c r="E12" s="83">
        <v>1</v>
      </c>
      <c r="F12" s="81"/>
      <c r="G12" s="167"/>
      <c r="H12" s="167" t="s">
        <v>114</v>
      </c>
    </row>
    <row r="13" spans="1:9" s="50" customFormat="1" ht="19.5" customHeight="1">
      <c r="A13" s="49">
        <v>4</v>
      </c>
      <c r="B13" s="165" t="s">
        <v>362</v>
      </c>
      <c r="C13" s="165" t="s">
        <v>362</v>
      </c>
      <c r="D13" s="79" t="s">
        <v>113</v>
      </c>
      <c r="E13" s="83">
        <v>1</v>
      </c>
      <c r="F13" s="81"/>
      <c r="G13" s="167"/>
      <c r="H13" s="167" t="s">
        <v>114</v>
      </c>
    </row>
    <row r="14" spans="1:9" s="50" customFormat="1" ht="16.5">
      <c r="A14" s="49">
        <v>5</v>
      </c>
      <c r="B14" s="165" t="s">
        <v>363</v>
      </c>
      <c r="C14" s="165" t="s">
        <v>363</v>
      </c>
      <c r="D14" s="79" t="s">
        <v>113</v>
      </c>
      <c r="E14" s="83">
        <v>0.3</v>
      </c>
      <c r="F14" s="81"/>
      <c r="G14" s="167"/>
      <c r="H14" s="167" t="s">
        <v>114</v>
      </c>
    </row>
    <row r="15" spans="1:9" s="50" customFormat="1" ht="15.75">
      <c r="A15" s="52"/>
      <c r="B15" s="49" t="s">
        <v>101</v>
      </c>
      <c r="C15" s="80"/>
      <c r="D15" s="52"/>
      <c r="E15" s="83">
        <f>AVERAGE(E11:E14)</f>
        <v>0.82499999999999996</v>
      </c>
      <c r="F15" s="53"/>
      <c r="G15" s="70"/>
      <c r="H15" s="70"/>
    </row>
    <row r="16" spans="1:9" s="50" customFormat="1" ht="15.75">
      <c r="A16" s="55"/>
      <c r="B16" s="74"/>
      <c r="C16" s="74"/>
      <c r="D16" s="74"/>
      <c r="E16" s="75"/>
      <c r="F16" s="75"/>
      <c r="G16" s="76"/>
      <c r="H16" s="76"/>
    </row>
    <row r="17" spans="1:8" s="50" customFormat="1" ht="15.75">
      <c r="A17" s="55" t="s">
        <v>75</v>
      </c>
      <c r="B17" s="56" t="s">
        <v>99</v>
      </c>
      <c r="C17" s="58"/>
      <c r="D17" s="58"/>
      <c r="E17" s="57"/>
      <c r="F17" s="57" t="s">
        <v>366</v>
      </c>
      <c r="G17" s="57"/>
      <c r="H17" s="57"/>
    </row>
    <row r="18" spans="1:8" s="54" customFormat="1">
      <c r="A18" s="44"/>
      <c r="B18" s="43"/>
      <c r="C18" s="43"/>
      <c r="D18" s="43"/>
      <c r="E18" s="44"/>
      <c r="F18" s="44"/>
      <c r="G18" s="44"/>
      <c r="H18" s="44"/>
    </row>
    <row r="19" spans="1:8" s="54" customFormat="1" ht="15.75">
      <c r="A19" s="164" t="s">
        <v>34</v>
      </c>
      <c r="B19" s="174" t="s">
        <v>71</v>
      </c>
      <c r="C19" s="174"/>
      <c r="D19" s="174"/>
      <c r="E19" s="164" t="s">
        <v>100</v>
      </c>
      <c r="F19" s="164" t="s">
        <v>102</v>
      </c>
      <c r="G19" s="164" t="s">
        <v>70</v>
      </c>
      <c r="H19" s="58"/>
    </row>
    <row r="20" spans="1:8" s="58" customFormat="1" ht="16.5">
      <c r="A20" s="60">
        <v>1</v>
      </c>
      <c r="B20" s="179" t="s">
        <v>110</v>
      </c>
      <c r="C20" s="179"/>
      <c r="D20" s="179"/>
      <c r="E20" s="200" t="s">
        <v>365</v>
      </c>
      <c r="F20" s="167" t="s">
        <v>252</v>
      </c>
      <c r="G20" s="167"/>
      <c r="H20" s="61"/>
    </row>
    <row r="21" spans="1:8" s="58" customFormat="1" ht="16.5">
      <c r="A21" s="60">
        <v>2</v>
      </c>
      <c r="B21" s="181" t="s">
        <v>363</v>
      </c>
      <c r="C21" s="182"/>
      <c r="D21" s="183"/>
      <c r="E21" s="200"/>
      <c r="F21" s="167"/>
      <c r="G21" s="167"/>
      <c r="H21" s="61"/>
    </row>
    <row r="22" spans="1:8" s="58" customFormat="1" ht="16.5">
      <c r="A22" s="60">
        <v>3</v>
      </c>
      <c r="B22" s="181" t="s">
        <v>364</v>
      </c>
      <c r="C22" s="182"/>
      <c r="D22" s="183"/>
      <c r="E22" s="200"/>
      <c r="F22" s="167"/>
      <c r="G22" s="167"/>
      <c r="H22" s="61"/>
    </row>
    <row r="23" spans="1:8" s="58" customFormat="1" ht="16.5">
      <c r="A23" s="60"/>
      <c r="B23" s="181"/>
      <c r="C23" s="182"/>
      <c r="D23" s="183"/>
      <c r="E23" s="200"/>
      <c r="F23" s="167"/>
      <c r="G23" s="167"/>
      <c r="H23" s="61"/>
    </row>
    <row r="24" spans="1:8" s="58" customFormat="1" ht="16.5">
      <c r="A24" s="60"/>
      <c r="B24" s="201"/>
      <c r="C24" s="201"/>
      <c r="D24" s="201"/>
      <c r="E24" s="200"/>
      <c r="F24" s="167"/>
      <c r="G24" s="167"/>
      <c r="H24" s="61"/>
    </row>
    <row r="25" spans="1:8" s="58" customFormat="1" ht="20.25" customHeight="1">
      <c r="A25" s="114"/>
      <c r="B25" s="114"/>
      <c r="C25" s="114"/>
      <c r="D25" s="114"/>
      <c r="E25" s="115"/>
      <c r="F25" s="116"/>
      <c r="G25" s="116"/>
      <c r="H25" s="43"/>
    </row>
    <row r="26" spans="1:8" s="61" customFormat="1" ht="16.5">
      <c r="A26" s="71"/>
      <c r="B26" s="71" t="s">
        <v>89</v>
      </c>
      <c r="C26" s="73" t="s">
        <v>90</v>
      </c>
      <c r="D26" s="173" t="s">
        <v>7</v>
      </c>
      <c r="E26" s="173"/>
      <c r="F26" s="173"/>
      <c r="G26" s="173"/>
      <c r="H26" s="72"/>
    </row>
    <row r="27" spans="1:8" s="61" customFormat="1" ht="16.5">
      <c r="A27" s="68"/>
      <c r="E27" s="68"/>
      <c r="F27" s="68"/>
      <c r="G27" s="68"/>
      <c r="H27" s="68"/>
    </row>
    <row r="28" spans="1:8" ht="17.25" customHeight="1">
      <c r="A28" s="68"/>
      <c r="B28" s="68" t="s">
        <v>199</v>
      </c>
      <c r="C28" s="61"/>
      <c r="D28" s="61"/>
      <c r="E28" s="68"/>
      <c r="F28" s="68"/>
      <c r="G28" s="68"/>
      <c r="H28" s="68"/>
    </row>
    <row r="29" spans="1:8" s="72" customFormat="1" ht="18.75" customHeight="1">
      <c r="A29" s="68"/>
      <c r="B29" s="68" t="s">
        <v>200</v>
      </c>
      <c r="C29" s="61"/>
      <c r="D29" s="61"/>
      <c r="E29" s="68"/>
      <c r="F29" s="68"/>
      <c r="G29" s="68"/>
      <c r="H29" s="68"/>
    </row>
    <row r="30" spans="1:8" s="61" customFormat="1" ht="16.5">
      <c r="A30" s="68"/>
      <c r="E30" s="68"/>
      <c r="F30" s="68"/>
      <c r="G30" s="68"/>
      <c r="H30" s="68"/>
    </row>
    <row r="31" spans="1:8" s="61" customFormat="1" ht="16.5">
      <c r="A31" s="68"/>
      <c r="E31" s="68"/>
      <c r="F31" s="68"/>
      <c r="G31" s="68"/>
      <c r="H31" s="68"/>
    </row>
    <row r="32" spans="1:8" s="61" customFormat="1" ht="16.5">
      <c r="A32" s="68"/>
      <c r="E32" s="68"/>
      <c r="F32" s="68"/>
      <c r="G32" s="68"/>
      <c r="H32" s="68"/>
    </row>
    <row r="33" spans="1:8" s="61" customFormat="1" ht="16.5">
      <c r="A33" s="68"/>
      <c r="E33" s="68"/>
      <c r="F33" s="68"/>
      <c r="G33" s="68"/>
      <c r="H33" s="68"/>
    </row>
    <row r="34" spans="1:8" s="61" customFormat="1" ht="16.5">
      <c r="A34" s="68"/>
      <c r="E34" s="68"/>
      <c r="F34" s="68"/>
      <c r="G34" s="68"/>
      <c r="H34" s="68"/>
    </row>
    <row r="35" spans="1:8" s="61" customFormat="1" ht="16.5">
      <c r="A35" s="68"/>
      <c r="E35" s="68"/>
      <c r="F35" s="68"/>
      <c r="G35" s="68"/>
      <c r="H35" s="68"/>
    </row>
    <row r="36" spans="1:8" s="61" customFormat="1" ht="16.5">
      <c r="A36" s="68"/>
      <c r="E36" s="68"/>
      <c r="F36" s="68"/>
      <c r="G36" s="68"/>
      <c r="H36" s="68"/>
    </row>
    <row r="37" spans="1:8" s="61" customFormat="1" ht="16.5">
      <c r="A37" s="68"/>
      <c r="E37" s="68"/>
      <c r="F37" s="68"/>
      <c r="G37" s="68"/>
      <c r="H37" s="68"/>
    </row>
    <row r="38" spans="1:8" s="61" customFormat="1" ht="16.5">
      <c r="A38" s="68"/>
      <c r="E38" s="68"/>
      <c r="F38" s="68"/>
      <c r="G38" s="68"/>
      <c r="H38" s="68"/>
    </row>
    <row r="39" spans="1:8" s="61" customFormat="1" ht="16.5">
      <c r="A39" s="68"/>
      <c r="E39" s="68"/>
      <c r="F39" s="68"/>
      <c r="G39" s="68"/>
      <c r="H39" s="68"/>
    </row>
    <row r="40" spans="1:8" s="61" customFormat="1" ht="16.5">
      <c r="A40" s="68"/>
      <c r="E40" s="68"/>
      <c r="F40" s="68"/>
      <c r="G40" s="68"/>
      <c r="H40" s="68"/>
    </row>
    <row r="41" spans="1:8" s="61" customFormat="1">
      <c r="A41" s="44"/>
      <c r="B41" s="43"/>
      <c r="C41" s="43"/>
      <c r="D41" s="43"/>
      <c r="E41" s="44"/>
      <c r="F41" s="44"/>
      <c r="G41" s="44"/>
      <c r="H41" s="44"/>
    </row>
    <row r="42" spans="1:8" s="61" customFormat="1">
      <c r="A42" s="44"/>
      <c r="B42" s="43"/>
      <c r="C42" s="43"/>
      <c r="D42" s="43"/>
      <c r="E42" s="44"/>
      <c r="F42" s="44"/>
      <c r="G42" s="44"/>
      <c r="H42" s="44"/>
    </row>
    <row r="43" spans="1:8" s="61" customFormat="1">
      <c r="A43" s="44"/>
      <c r="B43" s="43"/>
      <c r="C43" s="43"/>
      <c r="D43" s="43"/>
      <c r="E43" s="44"/>
      <c r="F43" s="44"/>
      <c r="G43" s="44"/>
      <c r="H43" s="44"/>
    </row>
  </sheetData>
  <mergeCells count="9">
    <mergeCell ref="D26:G26"/>
    <mergeCell ref="A1:H1"/>
    <mergeCell ref="B19:D19"/>
    <mergeCell ref="B20:D20"/>
    <mergeCell ref="E20:E24"/>
    <mergeCell ref="B21:D21"/>
    <mergeCell ref="B22:D22"/>
    <mergeCell ref="B23:D23"/>
    <mergeCell ref="B24:D24"/>
  </mergeCells>
  <pageMargins left="0.7" right="0.7" top="0.75" bottom="0.75" header="0.3" footer="0.3"/>
  <pageSetup paperSize="9" scale="67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tabSelected="1" zoomScale="89" zoomScaleNormal="89" workbookViewId="0">
      <selection activeCell="J9" sqref="J9"/>
    </sheetView>
  </sheetViews>
  <sheetFormatPr defaultColWidth="15.140625" defaultRowHeight="18.75"/>
  <cols>
    <col min="1" max="1" width="5.85546875" style="44" customWidth="1"/>
    <col min="2" max="2" width="28.140625" style="43" customWidth="1"/>
    <col min="3" max="3" width="71.28515625" style="43" customWidth="1"/>
    <col min="4" max="4" width="25.28515625" style="43" customWidth="1"/>
    <col min="5" max="5" width="12.85546875" style="44" customWidth="1"/>
    <col min="6" max="6" width="12.28515625" style="44" customWidth="1"/>
    <col min="7" max="7" width="16.140625" style="44" bestFit="1" customWidth="1"/>
    <col min="8" max="16384" width="15.140625" style="43"/>
  </cols>
  <sheetData>
    <row r="1" spans="1:9" ht="44.25" customHeight="1">
      <c r="A1" s="172" t="s">
        <v>131</v>
      </c>
      <c r="B1" s="172"/>
      <c r="C1" s="172"/>
      <c r="D1" s="172"/>
      <c r="E1" s="172"/>
      <c r="F1" s="172"/>
      <c r="G1" s="172"/>
      <c r="H1" s="45"/>
      <c r="I1" s="45"/>
    </row>
    <row r="2" spans="1:9" s="47" customFormat="1" ht="20.25" customHeight="1">
      <c r="A2" s="46" t="s">
        <v>195</v>
      </c>
      <c r="E2" s="48"/>
      <c r="F2" s="48"/>
      <c r="G2" s="48"/>
    </row>
    <row r="3" spans="1:9" s="47" customFormat="1" ht="20.25" customHeight="1">
      <c r="A3" s="46" t="s">
        <v>104</v>
      </c>
      <c r="E3" s="48"/>
      <c r="F3" s="48"/>
      <c r="G3" s="48"/>
    </row>
    <row r="4" spans="1:9" s="47" customFormat="1" ht="20.25" customHeight="1">
      <c r="A4" s="46" t="s">
        <v>111</v>
      </c>
      <c r="E4" s="48"/>
      <c r="F4" s="48"/>
      <c r="G4" s="48"/>
    </row>
    <row r="5" spans="1:9" s="47" customFormat="1" ht="20.25" customHeight="1">
      <c r="A5" s="46" t="s">
        <v>360</v>
      </c>
      <c r="E5" s="48"/>
      <c r="F5" s="48"/>
      <c r="G5" s="48"/>
    </row>
    <row r="6" spans="1:9" s="47" customFormat="1" ht="3" customHeight="1">
      <c r="A6" s="46"/>
      <c r="E6" s="48"/>
      <c r="F6" s="48"/>
      <c r="G6" s="48"/>
    </row>
    <row r="7" spans="1:9" s="47" customFormat="1" ht="20.25" customHeight="1">
      <c r="A7" s="46" t="s">
        <v>72</v>
      </c>
      <c r="E7" s="48"/>
      <c r="F7" s="48"/>
      <c r="G7" s="48"/>
    </row>
    <row r="8" spans="1:9" s="47" customFormat="1" ht="8.25" customHeight="1">
      <c r="A8" s="46"/>
      <c r="E8" s="48"/>
      <c r="F8" s="48"/>
      <c r="G8" s="48"/>
    </row>
    <row r="9" spans="1:9" s="50" customFormat="1" ht="63">
      <c r="A9" s="49" t="s">
        <v>34</v>
      </c>
      <c r="B9" s="49" t="s">
        <v>372</v>
      </c>
      <c r="C9" s="49" t="s">
        <v>73</v>
      </c>
      <c r="D9" s="49" t="s">
        <v>88</v>
      </c>
      <c r="E9" s="49" t="s">
        <v>91</v>
      </c>
      <c r="F9" s="49" t="s">
        <v>84</v>
      </c>
      <c r="G9" s="49" t="s">
        <v>70</v>
      </c>
    </row>
    <row r="10" spans="1:9" s="50" customFormat="1" ht="15.75">
      <c r="A10" s="49">
        <v>1</v>
      </c>
      <c r="B10" s="49">
        <v>2</v>
      </c>
      <c r="C10" s="49">
        <v>4</v>
      </c>
      <c r="D10" s="49">
        <v>5</v>
      </c>
      <c r="E10" s="49">
        <v>6</v>
      </c>
      <c r="F10" s="49">
        <v>7</v>
      </c>
      <c r="G10" s="49">
        <v>8</v>
      </c>
    </row>
    <row r="11" spans="1:9" s="50" customFormat="1" ht="16.5">
      <c r="A11" s="49">
        <v>2</v>
      </c>
      <c r="B11" s="79" t="s">
        <v>110</v>
      </c>
      <c r="C11" s="165" t="s">
        <v>110</v>
      </c>
      <c r="D11" s="79" t="s">
        <v>113</v>
      </c>
      <c r="E11" s="83">
        <v>1</v>
      </c>
      <c r="F11" s="81"/>
      <c r="G11" s="167" t="s">
        <v>114</v>
      </c>
    </row>
    <row r="12" spans="1:9" s="50" customFormat="1" ht="16.5">
      <c r="A12" s="49">
        <v>3</v>
      </c>
      <c r="B12" s="165" t="s">
        <v>241</v>
      </c>
      <c r="C12" s="165" t="s">
        <v>242</v>
      </c>
      <c r="D12" s="79" t="s">
        <v>113</v>
      </c>
      <c r="E12" s="83">
        <v>1</v>
      </c>
      <c r="F12" s="81"/>
      <c r="G12" s="167" t="s">
        <v>114</v>
      </c>
    </row>
    <row r="13" spans="1:9" s="50" customFormat="1" ht="16.5">
      <c r="A13" s="49">
        <v>4</v>
      </c>
      <c r="B13" s="165" t="s">
        <v>367</v>
      </c>
      <c r="C13" s="165" t="s">
        <v>367</v>
      </c>
      <c r="D13" s="79" t="s">
        <v>113</v>
      </c>
      <c r="E13" s="83">
        <v>1</v>
      </c>
      <c r="F13" s="81"/>
      <c r="G13" s="167" t="s">
        <v>114</v>
      </c>
    </row>
    <row r="14" spans="1:9" s="50" customFormat="1" ht="33">
      <c r="A14" s="49">
        <v>5</v>
      </c>
      <c r="B14" s="165" t="s">
        <v>368</v>
      </c>
      <c r="C14" s="165" t="s">
        <v>368</v>
      </c>
      <c r="D14" s="79" t="s">
        <v>113</v>
      </c>
      <c r="E14" s="83">
        <v>1</v>
      </c>
      <c r="F14" s="81"/>
      <c r="G14" s="167" t="s">
        <v>114</v>
      </c>
    </row>
    <row r="15" spans="1:9" s="50" customFormat="1" ht="16.5">
      <c r="A15" s="49">
        <v>6</v>
      </c>
      <c r="B15" s="165" t="s">
        <v>369</v>
      </c>
      <c r="C15" s="165" t="s">
        <v>369</v>
      </c>
      <c r="D15" s="79" t="s">
        <v>113</v>
      </c>
      <c r="E15" s="83">
        <v>1</v>
      </c>
      <c r="F15" s="81"/>
      <c r="G15" s="167" t="s">
        <v>114</v>
      </c>
    </row>
    <row r="16" spans="1:9" s="171" customFormat="1">
      <c r="A16" s="168">
        <v>7</v>
      </c>
      <c r="B16" s="165" t="s">
        <v>371</v>
      </c>
      <c r="C16" s="165" t="s">
        <v>371</v>
      </c>
      <c r="D16" s="79" t="s">
        <v>113</v>
      </c>
      <c r="E16" s="83">
        <v>1</v>
      </c>
      <c r="F16" s="169"/>
      <c r="G16" s="170" t="s">
        <v>114</v>
      </c>
    </row>
    <row r="17" spans="1:7" s="171" customFormat="1">
      <c r="A17" s="168">
        <v>8</v>
      </c>
      <c r="B17" s="165" t="s">
        <v>363</v>
      </c>
      <c r="C17" s="165" t="s">
        <v>363</v>
      </c>
      <c r="D17" s="79" t="s">
        <v>172</v>
      </c>
      <c r="E17" s="83">
        <v>0.3</v>
      </c>
      <c r="F17" s="169"/>
      <c r="G17" s="170" t="s">
        <v>114</v>
      </c>
    </row>
    <row r="18" spans="1:7" s="50" customFormat="1" ht="34.5" customHeight="1">
      <c r="A18" s="49">
        <v>9</v>
      </c>
      <c r="B18" s="165" t="s">
        <v>370</v>
      </c>
      <c r="C18" s="165" t="s">
        <v>370</v>
      </c>
      <c r="D18" s="79" t="s">
        <v>113</v>
      </c>
      <c r="E18" s="83">
        <v>1</v>
      </c>
      <c r="F18" s="81"/>
      <c r="G18" s="167" t="s">
        <v>114</v>
      </c>
    </row>
    <row r="19" spans="1:7" s="54" customFormat="1" ht="15.75">
      <c r="A19" s="52"/>
      <c r="B19" s="49" t="s">
        <v>74</v>
      </c>
      <c r="C19" s="52"/>
      <c r="D19" s="52"/>
      <c r="E19" s="53">
        <f>AVERAGE(E11:E18)</f>
        <v>0.91249999999999998</v>
      </c>
      <c r="F19" s="53"/>
      <c r="G19" s="70"/>
    </row>
    <row r="20" spans="1:7" s="54" customFormat="1" ht="15.75">
      <c r="A20" s="55"/>
      <c r="B20" s="74"/>
      <c r="C20" s="74"/>
      <c r="D20" s="74"/>
      <c r="E20" s="75"/>
      <c r="F20" s="75"/>
      <c r="G20" s="76"/>
    </row>
    <row r="21" spans="1:7" s="58" customFormat="1" ht="15.75">
      <c r="A21" s="55" t="s">
        <v>75</v>
      </c>
      <c r="B21" s="56" t="s">
        <v>76</v>
      </c>
      <c r="E21" s="57"/>
      <c r="F21" s="57"/>
      <c r="G21" s="57"/>
    </row>
    <row r="23" spans="1:7" s="58" customFormat="1" ht="47.25">
      <c r="A23" s="164" t="s">
        <v>6</v>
      </c>
      <c r="B23" s="174" t="s">
        <v>71</v>
      </c>
      <c r="C23" s="174"/>
      <c r="D23" s="174"/>
      <c r="E23" s="164" t="s">
        <v>92</v>
      </c>
      <c r="F23" s="164" t="s">
        <v>87</v>
      </c>
      <c r="G23" s="164" t="s">
        <v>70</v>
      </c>
    </row>
    <row r="24" spans="1:7" s="61" customFormat="1" ht="16.5">
      <c r="A24" s="107">
        <v>1</v>
      </c>
      <c r="B24" s="193" t="s">
        <v>77</v>
      </c>
      <c r="C24" s="193"/>
      <c r="D24" s="193"/>
      <c r="E24" s="60">
        <v>9</v>
      </c>
      <c r="F24" s="60"/>
      <c r="G24" s="60"/>
    </row>
    <row r="25" spans="1:7" s="61" customFormat="1" ht="16.5">
      <c r="A25" s="107">
        <v>2</v>
      </c>
      <c r="B25" s="193" t="s">
        <v>78</v>
      </c>
      <c r="C25" s="193"/>
      <c r="D25" s="193"/>
      <c r="E25" s="60">
        <v>9</v>
      </c>
      <c r="F25" s="60"/>
      <c r="G25" s="60"/>
    </row>
    <row r="26" spans="1:7" s="61" customFormat="1" ht="16.5">
      <c r="A26" s="107">
        <v>3</v>
      </c>
      <c r="B26" s="192" t="s">
        <v>79</v>
      </c>
      <c r="C26" s="192"/>
      <c r="D26" s="192"/>
      <c r="E26" s="60">
        <v>7</v>
      </c>
      <c r="F26" s="60"/>
      <c r="G26" s="60"/>
    </row>
    <row r="27" spans="1:7" s="61" customFormat="1" ht="16.5">
      <c r="A27" s="107">
        <v>4</v>
      </c>
      <c r="B27" s="192" t="s">
        <v>80</v>
      </c>
      <c r="C27" s="192"/>
      <c r="D27" s="192"/>
      <c r="E27" s="60">
        <v>9</v>
      </c>
      <c r="F27" s="60"/>
      <c r="G27" s="60"/>
    </row>
    <row r="28" spans="1:7" s="61" customFormat="1" ht="16.5">
      <c r="A28" s="107">
        <v>5</v>
      </c>
      <c r="B28" s="193" t="s">
        <v>81</v>
      </c>
      <c r="C28" s="193"/>
      <c r="D28" s="193"/>
      <c r="E28" s="60">
        <v>9</v>
      </c>
      <c r="F28" s="60"/>
      <c r="G28" s="60"/>
    </row>
    <row r="29" spans="1:7">
      <c r="A29" s="65"/>
      <c r="B29" s="194" t="s">
        <v>74</v>
      </c>
      <c r="C29" s="194"/>
      <c r="D29" s="194"/>
      <c r="E29" s="166"/>
      <c r="F29" s="166"/>
      <c r="G29" s="65"/>
    </row>
    <row r="30" spans="1:7" ht="17.25" customHeight="1">
      <c r="B30" s="77"/>
      <c r="C30" s="77"/>
      <c r="D30" s="77"/>
      <c r="E30" s="77"/>
      <c r="F30" s="77"/>
    </row>
    <row r="31" spans="1:7" s="61" customFormat="1" ht="16.5">
      <c r="A31" s="67" t="s">
        <v>85</v>
      </c>
      <c r="E31" s="68"/>
      <c r="F31" s="68"/>
      <c r="G31" s="68"/>
    </row>
    <row r="32" spans="1:7" s="61" customFormat="1" ht="16.5">
      <c r="A32" s="69" t="s">
        <v>82</v>
      </c>
      <c r="E32" s="68"/>
      <c r="F32" s="68"/>
      <c r="G32" s="68"/>
    </row>
    <row r="33" spans="1:7" s="61" customFormat="1" ht="16.5">
      <c r="A33" s="69" t="s">
        <v>83</v>
      </c>
      <c r="E33" s="68"/>
      <c r="F33" s="68"/>
      <c r="G33" s="68"/>
    </row>
    <row r="34" spans="1:7" s="61" customFormat="1" ht="16.5">
      <c r="A34" s="69" t="s">
        <v>83</v>
      </c>
      <c r="E34" s="68"/>
      <c r="F34" s="68"/>
      <c r="G34" s="68"/>
    </row>
    <row r="35" spans="1:7" s="61" customFormat="1" ht="16.5">
      <c r="A35" s="69" t="s">
        <v>83</v>
      </c>
      <c r="E35" s="68"/>
      <c r="F35" s="68"/>
      <c r="G35" s="68"/>
    </row>
    <row r="36" spans="1:7" s="61" customFormat="1" ht="16.5">
      <c r="A36" s="69"/>
      <c r="E36" s="68"/>
      <c r="F36" s="68"/>
      <c r="G36" s="68"/>
    </row>
    <row r="37" spans="1:7" s="61" customFormat="1" ht="16.5">
      <c r="A37" s="67" t="s">
        <v>86</v>
      </c>
      <c r="E37" s="68"/>
      <c r="F37" s="68"/>
      <c r="G37" s="68"/>
    </row>
    <row r="38" spans="1:7" s="61" customFormat="1" ht="16.5">
      <c r="A38" s="69" t="s">
        <v>82</v>
      </c>
      <c r="E38" s="68"/>
      <c r="F38" s="68"/>
      <c r="G38" s="68"/>
    </row>
    <row r="39" spans="1:7" s="61" customFormat="1" ht="16.5">
      <c r="A39" s="69" t="s">
        <v>83</v>
      </c>
      <c r="E39" s="68"/>
      <c r="F39" s="68"/>
      <c r="G39" s="68"/>
    </row>
    <row r="40" spans="1:7" s="61" customFormat="1" ht="16.5">
      <c r="A40" s="69" t="s">
        <v>83</v>
      </c>
      <c r="E40" s="68"/>
      <c r="F40" s="68"/>
      <c r="G40" s="68"/>
    </row>
    <row r="41" spans="1:7" s="61" customFormat="1" ht="16.5">
      <c r="A41" s="69" t="s">
        <v>83</v>
      </c>
      <c r="E41" s="68"/>
      <c r="F41" s="68"/>
      <c r="G41" s="68"/>
    </row>
    <row r="42" spans="1:7" s="61" customFormat="1" ht="16.5">
      <c r="E42" s="68"/>
      <c r="F42" s="68"/>
      <c r="G42" s="68"/>
    </row>
    <row r="43" spans="1:7" s="72" customFormat="1" ht="18.75" customHeight="1">
      <c r="A43" s="71"/>
      <c r="B43" s="71" t="s">
        <v>89</v>
      </c>
      <c r="C43" s="73" t="s">
        <v>90</v>
      </c>
      <c r="D43" s="173" t="s">
        <v>7</v>
      </c>
      <c r="E43" s="173"/>
      <c r="F43" s="173"/>
      <c r="G43" s="173"/>
    </row>
    <row r="44" spans="1:7" s="61" customFormat="1" ht="16.5">
      <c r="A44" s="68"/>
      <c r="B44" s="68" t="s">
        <v>199</v>
      </c>
      <c r="E44" s="68"/>
      <c r="F44" s="68"/>
      <c r="G44" s="68"/>
    </row>
    <row r="45" spans="1:7" s="61" customFormat="1" ht="16.5">
      <c r="A45" s="68"/>
      <c r="B45" s="68" t="s">
        <v>200</v>
      </c>
      <c r="E45" s="68"/>
      <c r="F45" s="68"/>
      <c r="G45" s="68"/>
    </row>
    <row r="46" spans="1:7" s="61" customFormat="1" ht="16.5">
      <c r="A46" s="68"/>
      <c r="E46" s="68"/>
      <c r="F46" s="68"/>
      <c r="G46" s="68"/>
    </row>
    <row r="47" spans="1:7" s="61" customFormat="1" ht="16.5">
      <c r="A47" s="68"/>
      <c r="E47" s="68"/>
      <c r="F47" s="68"/>
      <c r="G47" s="68"/>
    </row>
    <row r="48" spans="1:7" s="61" customFormat="1" ht="16.5">
      <c r="A48" s="68"/>
      <c r="E48" s="68"/>
      <c r="F48" s="68"/>
      <c r="G48" s="68"/>
    </row>
    <row r="49" spans="1:7" s="61" customFormat="1" ht="16.5">
      <c r="A49" s="68"/>
      <c r="E49" s="68"/>
      <c r="F49" s="68"/>
      <c r="G49" s="68"/>
    </row>
    <row r="50" spans="1:7" s="61" customFormat="1" ht="16.5">
      <c r="A50" s="68"/>
      <c r="E50" s="68"/>
      <c r="F50" s="68"/>
      <c r="G50" s="68"/>
    </row>
    <row r="51" spans="1:7" s="61" customFormat="1" ht="16.5">
      <c r="A51" s="68"/>
      <c r="E51" s="68"/>
      <c r="F51" s="68"/>
      <c r="G51" s="68"/>
    </row>
    <row r="52" spans="1:7" s="61" customFormat="1" ht="16.5">
      <c r="A52" s="68"/>
      <c r="E52" s="68"/>
      <c r="F52" s="68"/>
      <c r="G52" s="68"/>
    </row>
    <row r="53" spans="1:7" s="61" customFormat="1" ht="16.5">
      <c r="A53" s="68"/>
      <c r="E53" s="68"/>
      <c r="F53" s="68"/>
      <c r="G53" s="68"/>
    </row>
    <row r="54" spans="1:7" s="61" customFormat="1" ht="16.5">
      <c r="A54" s="68"/>
      <c r="E54" s="68"/>
      <c r="F54" s="68"/>
      <c r="G54" s="68"/>
    </row>
    <row r="55" spans="1:7" s="61" customFormat="1" ht="16.5">
      <c r="A55" s="68"/>
      <c r="E55" s="68"/>
      <c r="F55" s="68"/>
      <c r="G55" s="68"/>
    </row>
    <row r="56" spans="1:7" s="61" customFormat="1" ht="16.5">
      <c r="A56" s="68"/>
      <c r="E56" s="68"/>
      <c r="F56" s="68"/>
      <c r="G56" s="68"/>
    </row>
    <row r="57" spans="1:7" s="61" customFormat="1" ht="16.5">
      <c r="A57" s="68"/>
      <c r="E57" s="68"/>
      <c r="F57" s="68"/>
      <c r="G57" s="68"/>
    </row>
  </sheetData>
  <mergeCells count="9">
    <mergeCell ref="B28:D28"/>
    <mergeCell ref="B29:D29"/>
    <mergeCell ref="D43:G43"/>
    <mergeCell ref="A1:G1"/>
    <mergeCell ref="B23:D23"/>
    <mergeCell ref="B24:D24"/>
    <mergeCell ref="B25:D25"/>
    <mergeCell ref="B26:D26"/>
    <mergeCell ref="B27:D27"/>
  </mergeCells>
  <printOptions horizontalCentered="1" verticalCentered="1"/>
  <pageMargins left="0.27559055118110237" right="0.27559055118110237" top="0.98425196850393704" bottom="0.51181102362204722" header="0.70866141732283461" footer="0.19685039370078741"/>
  <pageSetup paperSize="9" scale="57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"/>
  <sheetViews>
    <sheetView workbookViewId="0">
      <selection activeCell="D11" sqref="D11"/>
    </sheetView>
  </sheetViews>
  <sheetFormatPr defaultRowHeight="18.75"/>
  <cols>
    <col min="1" max="1" width="9.140625" style="1"/>
    <col min="2" max="2" width="15.85546875" style="1" customWidth="1"/>
    <col min="3" max="3" width="21.140625" style="1" customWidth="1"/>
    <col min="4" max="4" width="18.42578125" style="1" customWidth="1"/>
    <col min="5" max="5" width="25" style="1" customWidth="1"/>
    <col min="6" max="6" width="29.85546875" style="1" customWidth="1"/>
    <col min="7" max="7" width="16.85546875" style="38" customWidth="1"/>
    <col min="8" max="16384" width="9.140625" style="1"/>
  </cols>
  <sheetData>
    <row r="1" spans="2:7" s="2" customFormat="1" ht="24.75" customHeight="1">
      <c r="B1" s="2" t="s">
        <v>69</v>
      </c>
      <c r="G1" s="31"/>
    </row>
    <row r="2" spans="2:7" s="2" customFormat="1" ht="24.75" customHeight="1">
      <c r="G2" s="31"/>
    </row>
    <row r="3" spans="2:7" s="2" customFormat="1" ht="24.75" customHeight="1">
      <c r="G3" s="31"/>
    </row>
    <row r="4" spans="2:7" s="2" customFormat="1" ht="24.75" customHeight="1">
      <c r="G4" s="31"/>
    </row>
    <row r="5" spans="2:7" s="2" customFormat="1" ht="24.75" customHeight="1">
      <c r="G5" s="31"/>
    </row>
    <row r="6" spans="2:7" s="2" customFormat="1" ht="24.75" customHeight="1">
      <c r="G6" s="31"/>
    </row>
    <row r="7" spans="2:7" s="2" customFormat="1" ht="24.75" customHeight="1">
      <c r="G7" s="31"/>
    </row>
    <row r="8" spans="2:7" s="2" customFormat="1" ht="24.75" customHeight="1">
      <c r="G8" s="31"/>
    </row>
    <row r="9" spans="2:7" s="2" customFormat="1" ht="24.75" customHeight="1">
      <c r="G9" s="31"/>
    </row>
    <row r="10" spans="2:7" s="2" customFormat="1" ht="24.75" customHeight="1">
      <c r="G10" s="31"/>
    </row>
    <row r="11" spans="2:7" s="2" customFormat="1" ht="24.75" customHeight="1">
      <c r="G11" s="31"/>
    </row>
    <row r="12" spans="2:7" s="2" customFormat="1" ht="24.75" customHeight="1">
      <c r="G12" s="31"/>
    </row>
    <row r="13" spans="2:7" ht="31.5" customHeight="1" thickBot="1">
      <c r="B13" s="1" t="s">
        <v>57</v>
      </c>
      <c r="G13" s="31">
        <v>50000000</v>
      </c>
    </row>
    <row r="14" spans="2:7" s="3" customFormat="1" ht="30" customHeight="1" thickBot="1">
      <c r="B14" s="32" t="s">
        <v>36</v>
      </c>
      <c r="C14" s="33" t="s">
        <v>37</v>
      </c>
      <c r="D14" s="33" t="s">
        <v>38</v>
      </c>
      <c r="E14" s="33" t="s">
        <v>39</v>
      </c>
      <c r="G14" s="34"/>
    </row>
    <row r="15" spans="2:7" ht="19.5" thickBot="1">
      <c r="B15" s="35" t="s">
        <v>40</v>
      </c>
      <c r="C15" s="36" t="s">
        <v>41</v>
      </c>
      <c r="D15" s="37">
        <v>0</v>
      </c>
      <c r="E15" s="36"/>
    </row>
    <row r="16" spans="2:7" ht="19.5" thickBot="1">
      <c r="B16" s="35" t="s">
        <v>42</v>
      </c>
      <c r="C16" s="36" t="s">
        <v>43</v>
      </c>
      <c r="D16" s="37">
        <v>0.01</v>
      </c>
      <c r="E16" s="36"/>
    </row>
    <row r="17" spans="2:7" ht="19.5" thickBot="1">
      <c r="B17" s="35" t="s">
        <v>44</v>
      </c>
      <c r="C17" s="36" t="s">
        <v>45</v>
      </c>
      <c r="D17" s="37">
        <v>0.02</v>
      </c>
      <c r="E17" s="36"/>
    </row>
    <row r="18" spans="2:7" ht="19.5" thickBot="1">
      <c r="B18" s="35" t="s">
        <v>46</v>
      </c>
      <c r="C18" s="36" t="s">
        <v>47</v>
      </c>
      <c r="D18" s="37">
        <v>0.03</v>
      </c>
      <c r="E18" s="36"/>
    </row>
    <row r="19" spans="2:7" ht="19.5" thickBot="1">
      <c r="B19" s="35" t="s">
        <v>48</v>
      </c>
      <c r="C19" s="36" t="s">
        <v>49</v>
      </c>
      <c r="D19" s="37">
        <v>0.04</v>
      </c>
      <c r="E19" s="36"/>
    </row>
    <row r="20" spans="2:7" ht="19.5" thickBot="1">
      <c r="B20" s="35" t="s">
        <v>50</v>
      </c>
      <c r="C20" s="36" t="s">
        <v>51</v>
      </c>
      <c r="D20" s="39" t="s">
        <v>52</v>
      </c>
      <c r="E20" s="36"/>
    </row>
    <row r="21" spans="2:7" ht="19.5" thickBot="1">
      <c r="B21" s="35" t="s">
        <v>53</v>
      </c>
      <c r="C21" s="36" t="s">
        <v>54</v>
      </c>
      <c r="D21" s="39" t="s">
        <v>55</v>
      </c>
      <c r="E21" s="36"/>
    </row>
    <row r="22" spans="2:7">
      <c r="B22" s="40" t="s">
        <v>56</v>
      </c>
    </row>
    <row r="24" spans="2:7" s="2" customFormat="1">
      <c r="B24" s="41" t="s">
        <v>58</v>
      </c>
      <c r="G24" s="31"/>
    </row>
    <row r="26" spans="2:7" s="3" customFormat="1">
      <c r="B26" s="4" t="s">
        <v>34</v>
      </c>
      <c r="C26" s="4" t="s">
        <v>59</v>
      </c>
      <c r="D26" s="4" t="s">
        <v>35</v>
      </c>
      <c r="E26" s="4" t="s">
        <v>60</v>
      </c>
      <c r="F26" s="4" t="s">
        <v>61</v>
      </c>
      <c r="G26" s="34"/>
    </row>
    <row r="27" spans="2:7">
      <c r="B27" s="5">
        <v>1</v>
      </c>
      <c r="C27" s="5" t="s">
        <v>62</v>
      </c>
      <c r="D27" s="5">
        <v>0</v>
      </c>
      <c r="E27" s="5">
        <v>0</v>
      </c>
      <c r="F27" s="9">
        <f>+E27+$G$13</f>
        <v>50000000</v>
      </c>
    </row>
    <row r="28" spans="2:7" s="38" customFormat="1">
      <c r="B28" s="5">
        <v>2</v>
      </c>
      <c r="C28" s="5" t="s">
        <v>63</v>
      </c>
      <c r="D28" s="5"/>
      <c r="E28" s="5"/>
      <c r="F28" s="8"/>
    </row>
    <row r="29" spans="2:7" s="38" customFormat="1">
      <c r="B29" s="5"/>
      <c r="C29" s="6">
        <v>500000000</v>
      </c>
      <c r="D29" s="42">
        <v>0.01</v>
      </c>
      <c r="E29" s="6">
        <f>+C29*D29</f>
        <v>5000000</v>
      </c>
      <c r="F29" s="10">
        <f>+E29+$G$13</f>
        <v>55000000</v>
      </c>
    </row>
    <row r="30" spans="2:7" s="38" customFormat="1">
      <c r="B30" s="5">
        <v>3</v>
      </c>
      <c r="C30" s="6" t="s">
        <v>64</v>
      </c>
      <c r="D30" s="5"/>
      <c r="E30" s="6"/>
      <c r="F30" s="10"/>
    </row>
    <row r="31" spans="2:7" s="38" customFormat="1">
      <c r="B31" s="5"/>
      <c r="C31" s="6">
        <v>600000000</v>
      </c>
      <c r="D31" s="42">
        <v>0.02</v>
      </c>
      <c r="E31" s="6">
        <f>+C31*D31</f>
        <v>12000000</v>
      </c>
      <c r="F31" s="10">
        <f>+E31+$G$13</f>
        <v>62000000</v>
      </c>
    </row>
    <row r="32" spans="2:7" s="38" customFormat="1">
      <c r="B32" s="5">
        <v>4</v>
      </c>
      <c r="C32" s="6" t="s">
        <v>65</v>
      </c>
      <c r="D32" s="5"/>
      <c r="E32" s="6"/>
      <c r="F32" s="10"/>
    </row>
    <row r="33" spans="2:6" s="38" customFormat="1">
      <c r="B33" s="5"/>
      <c r="C33" s="6">
        <v>700000000</v>
      </c>
      <c r="D33" s="42">
        <v>0.03</v>
      </c>
      <c r="E33" s="6">
        <f>+C33*D33</f>
        <v>21000000</v>
      </c>
      <c r="F33" s="10">
        <f>+E33+$G$13</f>
        <v>71000000</v>
      </c>
    </row>
    <row r="34" spans="2:6" s="38" customFormat="1">
      <c r="B34" s="5">
        <v>5</v>
      </c>
      <c r="C34" s="6" t="s">
        <v>66</v>
      </c>
      <c r="D34" s="5"/>
      <c r="E34" s="6"/>
      <c r="F34" s="10"/>
    </row>
    <row r="35" spans="2:6" s="38" customFormat="1">
      <c r="B35" s="5"/>
      <c r="C35" s="6">
        <v>800000000</v>
      </c>
      <c r="D35" s="42">
        <v>0.04</v>
      </c>
      <c r="E35" s="6">
        <f>+C35*D35</f>
        <v>32000000</v>
      </c>
      <c r="F35" s="10">
        <f>+E35+$G$13</f>
        <v>82000000</v>
      </c>
    </row>
    <row r="36" spans="2:6" s="38" customFormat="1">
      <c r="B36" s="5">
        <v>6</v>
      </c>
      <c r="C36" s="6" t="s">
        <v>67</v>
      </c>
      <c r="D36" s="5"/>
      <c r="E36" s="6"/>
      <c r="F36" s="10"/>
    </row>
    <row r="37" spans="2:6" s="38" customFormat="1">
      <c r="B37" s="5"/>
      <c r="C37" s="6">
        <v>900000000</v>
      </c>
      <c r="D37" s="42">
        <v>0.05</v>
      </c>
      <c r="E37" s="6">
        <f>+C37*D37</f>
        <v>45000000</v>
      </c>
      <c r="F37" s="10">
        <f>+E37+$G$13</f>
        <v>95000000</v>
      </c>
    </row>
    <row r="38" spans="2:6" s="38" customFormat="1">
      <c r="B38" s="5">
        <v>7</v>
      </c>
      <c r="C38" s="6" t="s">
        <v>68</v>
      </c>
      <c r="D38" s="5"/>
      <c r="E38" s="6"/>
      <c r="F38" s="10"/>
    </row>
    <row r="39" spans="2:6" s="38" customFormat="1">
      <c r="B39" s="5"/>
      <c r="C39" s="6">
        <v>1000000000</v>
      </c>
      <c r="D39" s="42">
        <v>0.06</v>
      </c>
      <c r="E39" s="6">
        <f>+C39*D39</f>
        <v>60000000</v>
      </c>
      <c r="F39" s="10">
        <f>+E39+$G$13</f>
        <v>110000000</v>
      </c>
    </row>
    <row r="40" spans="2:6" s="38" customFormat="1">
      <c r="B40" s="5"/>
      <c r="C40" s="6">
        <v>1500000000</v>
      </c>
      <c r="D40" s="42">
        <f>+D39</f>
        <v>0.06</v>
      </c>
      <c r="E40" s="6">
        <f>+C40*D40</f>
        <v>90000000</v>
      </c>
      <c r="F40" s="10">
        <f>+E40+$G$13</f>
        <v>140000000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workbookViewId="0">
      <selection activeCell="D11" sqref="D11"/>
    </sheetView>
  </sheetViews>
  <sheetFormatPr defaultRowHeight="18.75"/>
  <cols>
    <col min="1" max="1" width="9.140625" style="1"/>
    <col min="2" max="2" width="10.85546875" style="1" customWidth="1"/>
    <col min="3" max="3" width="39.85546875" style="1" customWidth="1"/>
    <col min="4" max="4" width="20.85546875" style="1" customWidth="1"/>
    <col min="5" max="5" width="21.42578125" style="1" customWidth="1"/>
    <col min="6" max="6" width="20.7109375" style="1" customWidth="1"/>
    <col min="7" max="7" width="20.140625" style="1" bestFit="1" customWidth="1"/>
    <col min="8" max="8" width="20.42578125" style="1" customWidth="1"/>
    <col min="9" max="16384" width="9.140625" style="1"/>
  </cols>
  <sheetData>
    <row r="1" spans="2:8" s="2" customFormat="1" ht="25.5">
      <c r="C1" s="204" t="s">
        <v>28</v>
      </c>
      <c r="D1" s="204"/>
      <c r="E1" s="204"/>
      <c r="F1" s="204"/>
      <c r="G1" s="204"/>
      <c r="H1" s="204"/>
    </row>
    <row r="3" spans="2:8" s="3" customFormat="1" ht="45.75" customHeight="1">
      <c r="B3" s="4" t="s">
        <v>6</v>
      </c>
      <c r="C3" s="4" t="s">
        <v>5</v>
      </c>
      <c r="D3" s="12" t="s">
        <v>15</v>
      </c>
      <c r="E3" s="12" t="s">
        <v>1</v>
      </c>
      <c r="F3" s="12" t="s">
        <v>30</v>
      </c>
      <c r="G3" s="12" t="s">
        <v>4</v>
      </c>
      <c r="H3" s="12" t="s">
        <v>22</v>
      </c>
    </row>
    <row r="4" spans="2:8">
      <c r="B4" s="20">
        <v>1</v>
      </c>
      <c r="C4" s="20" t="s">
        <v>7</v>
      </c>
      <c r="D4" s="28">
        <v>20000000</v>
      </c>
      <c r="E4" s="21">
        <v>1</v>
      </c>
      <c r="F4" s="21" t="e">
        <f>+G18</f>
        <v>#REF!</v>
      </c>
      <c r="G4" s="20" t="s">
        <v>8</v>
      </c>
      <c r="H4" s="22" t="e">
        <f>+D4+F4</f>
        <v>#REF!</v>
      </c>
    </row>
    <row r="5" spans="2:8">
      <c r="B5" s="14">
        <v>2</v>
      </c>
      <c r="C5" s="14" t="s">
        <v>20</v>
      </c>
      <c r="D5" s="29">
        <v>15000000</v>
      </c>
      <c r="E5" s="17">
        <v>1</v>
      </c>
      <c r="F5" s="17" t="e">
        <f>+G19</f>
        <v>#REF!</v>
      </c>
      <c r="G5" s="14" t="s">
        <v>8</v>
      </c>
      <c r="H5" s="18" t="e">
        <f t="shared" ref="H5:H11" si="0">+D5+F5</f>
        <v>#REF!</v>
      </c>
    </row>
    <row r="6" spans="2:8">
      <c r="B6" s="14">
        <v>3</v>
      </c>
      <c r="C6" s="14" t="s">
        <v>9</v>
      </c>
      <c r="D6" s="29">
        <f>+D5</f>
        <v>15000000</v>
      </c>
      <c r="E6" s="17">
        <v>1</v>
      </c>
      <c r="F6" s="17" t="e">
        <f>+G20</f>
        <v>#REF!</v>
      </c>
      <c r="G6" s="14" t="s">
        <v>8</v>
      </c>
      <c r="H6" s="18" t="e">
        <f t="shared" si="0"/>
        <v>#REF!</v>
      </c>
    </row>
    <row r="7" spans="2:8">
      <c r="B7" s="14">
        <v>4</v>
      </c>
      <c r="C7" s="14" t="s">
        <v>10</v>
      </c>
      <c r="D7" s="29">
        <v>10000000</v>
      </c>
      <c r="E7" s="17">
        <v>2</v>
      </c>
      <c r="F7" s="17" t="e">
        <f>+G21/2</f>
        <v>#REF!</v>
      </c>
      <c r="G7" s="14" t="s">
        <v>8</v>
      </c>
      <c r="H7" s="18" t="e">
        <f t="shared" si="0"/>
        <v>#REF!</v>
      </c>
    </row>
    <row r="8" spans="2:8">
      <c r="B8" s="14">
        <v>5</v>
      </c>
      <c r="C8" s="14" t="s">
        <v>11</v>
      </c>
      <c r="D8" s="29">
        <f>+D7</f>
        <v>10000000</v>
      </c>
      <c r="E8" s="17">
        <v>2</v>
      </c>
      <c r="F8" s="17" t="e">
        <f>+G22/2</f>
        <v>#REF!</v>
      </c>
      <c r="G8" s="14" t="s">
        <v>8</v>
      </c>
      <c r="H8" s="18" t="e">
        <f t="shared" si="0"/>
        <v>#REF!</v>
      </c>
    </row>
    <row r="9" spans="2:8">
      <c r="B9" s="14">
        <v>6</v>
      </c>
      <c r="C9" s="14" t="s">
        <v>12</v>
      </c>
      <c r="D9" s="29">
        <v>10000000</v>
      </c>
      <c r="E9" s="17">
        <v>1</v>
      </c>
      <c r="F9" s="17" t="e">
        <f>+G23</f>
        <v>#REF!</v>
      </c>
      <c r="G9" s="14" t="s">
        <v>8</v>
      </c>
      <c r="H9" s="18" t="e">
        <f t="shared" si="0"/>
        <v>#REF!</v>
      </c>
    </row>
    <row r="10" spans="2:8">
      <c r="B10" s="14">
        <v>7</v>
      </c>
      <c r="C10" s="14" t="s">
        <v>13</v>
      </c>
      <c r="D10" s="29">
        <f>15000000</f>
        <v>15000000</v>
      </c>
      <c r="E10" s="17">
        <v>1</v>
      </c>
      <c r="F10" s="17" t="e">
        <f>+G24</f>
        <v>#REF!</v>
      </c>
      <c r="G10" s="14" t="s">
        <v>8</v>
      </c>
      <c r="H10" s="18" t="e">
        <f t="shared" si="0"/>
        <v>#REF!</v>
      </c>
    </row>
    <row r="11" spans="2:8">
      <c r="B11" s="14">
        <v>8</v>
      </c>
      <c r="C11" s="14" t="s">
        <v>16</v>
      </c>
      <c r="D11" s="29">
        <v>50000000</v>
      </c>
      <c r="E11" s="17">
        <v>1</v>
      </c>
      <c r="F11" s="17" t="e">
        <f>+G25</f>
        <v>#REF!</v>
      </c>
      <c r="G11" s="14" t="s">
        <v>8</v>
      </c>
      <c r="H11" s="18" t="e">
        <f t="shared" si="0"/>
        <v>#REF!</v>
      </c>
    </row>
    <row r="12" spans="2:8">
      <c r="B12" s="19"/>
      <c r="C12" s="19"/>
      <c r="D12" s="19"/>
      <c r="E12" s="23">
        <f>+SUM(E4:E11)</f>
        <v>10</v>
      </c>
      <c r="F12" s="19"/>
      <c r="G12" s="19"/>
      <c r="H12" s="19"/>
    </row>
    <row r="13" spans="2:8" s="2" customFormat="1">
      <c r="B13" s="8" t="s">
        <v>0</v>
      </c>
      <c r="C13" s="8" t="s">
        <v>14</v>
      </c>
      <c r="D13" s="9">
        <f>+D4*E4+D5*E5+D6*E6+D7*E7+D8*E8+D9*E9+D10*E10+D11*E11</f>
        <v>165000000</v>
      </c>
      <c r="E13" s="8"/>
      <c r="F13" s="8"/>
      <c r="G13" s="8"/>
      <c r="H13" s="8"/>
    </row>
    <row r="14" spans="2:8">
      <c r="B14" s="5"/>
      <c r="C14" s="5" t="s">
        <v>17</v>
      </c>
      <c r="D14" s="6">
        <f>+D13*5</f>
        <v>825000000</v>
      </c>
      <c r="E14" s="5"/>
      <c r="F14" s="7"/>
      <c r="G14" s="5"/>
      <c r="H14" s="5"/>
    </row>
    <row r="15" spans="2:8">
      <c r="B15" s="5"/>
      <c r="C15" s="5"/>
      <c r="D15" s="5"/>
      <c r="E15" s="5"/>
      <c r="F15" s="5"/>
      <c r="G15" s="5"/>
      <c r="H15" s="5"/>
    </row>
    <row r="16" spans="2:8" s="2" customFormat="1">
      <c r="B16" s="8" t="s">
        <v>2</v>
      </c>
      <c r="C16" s="8" t="s">
        <v>31</v>
      </c>
      <c r="D16" s="8"/>
      <c r="E16" s="10" t="e">
        <f>+#REF!+#REF!</f>
        <v>#REF!</v>
      </c>
      <c r="F16" s="8"/>
      <c r="G16" s="8"/>
      <c r="H16" s="8"/>
    </row>
    <row r="17" spans="2:8">
      <c r="B17" s="20"/>
      <c r="C17" s="20" t="s">
        <v>18</v>
      </c>
      <c r="D17" s="20"/>
      <c r="E17" s="24" t="e">
        <f>+E16-D14</f>
        <v>#REF!</v>
      </c>
      <c r="F17" s="20"/>
      <c r="G17" s="20"/>
      <c r="H17" s="20"/>
    </row>
    <row r="18" spans="2:8">
      <c r="B18" s="14"/>
      <c r="C18" s="15" t="s">
        <v>7</v>
      </c>
      <c r="D18" s="14"/>
      <c r="E18" s="30">
        <v>0.15</v>
      </c>
      <c r="F18" s="17" t="e">
        <f>+E18*$E$17</f>
        <v>#REF!</v>
      </c>
      <c r="G18" s="17" t="e">
        <f>+F18/5</f>
        <v>#REF!</v>
      </c>
      <c r="H18" s="14"/>
    </row>
    <row r="19" spans="2:8">
      <c r="B19" s="14"/>
      <c r="C19" s="15" t="s">
        <v>19</v>
      </c>
      <c r="D19" s="14"/>
      <c r="E19" s="30">
        <v>0.12</v>
      </c>
      <c r="F19" s="17" t="e">
        <f t="shared" ref="F19:F25" si="1">+E19*$E$17</f>
        <v>#REF!</v>
      </c>
      <c r="G19" s="17" t="e">
        <f t="shared" ref="G19:G25" si="2">+F19/5</f>
        <v>#REF!</v>
      </c>
      <c r="H19" s="14"/>
    </row>
    <row r="20" spans="2:8">
      <c r="B20" s="14"/>
      <c r="C20" s="15" t="s">
        <v>21</v>
      </c>
      <c r="D20" s="14"/>
      <c r="E20" s="30">
        <f>+E19</f>
        <v>0.12</v>
      </c>
      <c r="F20" s="17" t="e">
        <f t="shared" si="1"/>
        <v>#REF!</v>
      </c>
      <c r="G20" s="17" t="e">
        <f t="shared" si="2"/>
        <v>#REF!</v>
      </c>
      <c r="H20" s="14"/>
    </row>
    <row r="21" spans="2:8">
      <c r="B21" s="14"/>
      <c r="C21" s="15" t="s">
        <v>10</v>
      </c>
      <c r="D21" s="14"/>
      <c r="E21" s="30">
        <v>0.2</v>
      </c>
      <c r="F21" s="17" t="e">
        <f t="shared" si="1"/>
        <v>#REF!</v>
      </c>
      <c r="G21" s="17" t="e">
        <f t="shared" si="2"/>
        <v>#REF!</v>
      </c>
      <c r="H21" s="14"/>
    </row>
    <row r="22" spans="2:8">
      <c r="B22" s="14"/>
      <c r="C22" s="15" t="s">
        <v>11</v>
      </c>
      <c r="D22" s="14"/>
      <c r="E22" s="30">
        <v>0.08</v>
      </c>
      <c r="F22" s="17" t="e">
        <f t="shared" si="1"/>
        <v>#REF!</v>
      </c>
      <c r="G22" s="17" t="e">
        <f t="shared" si="2"/>
        <v>#REF!</v>
      </c>
      <c r="H22" s="14"/>
    </row>
    <row r="23" spans="2:8">
      <c r="B23" s="14"/>
      <c r="C23" s="15" t="s">
        <v>12</v>
      </c>
      <c r="D23" s="14"/>
      <c r="E23" s="30">
        <v>0.02</v>
      </c>
      <c r="F23" s="17" t="e">
        <f t="shared" si="1"/>
        <v>#REF!</v>
      </c>
      <c r="G23" s="17" t="e">
        <f t="shared" si="2"/>
        <v>#REF!</v>
      </c>
      <c r="H23" s="14"/>
    </row>
    <row r="24" spans="2:8">
      <c r="B24" s="14"/>
      <c r="C24" s="15" t="s">
        <v>13</v>
      </c>
      <c r="D24" s="14"/>
      <c r="E24" s="30">
        <v>0.01</v>
      </c>
      <c r="F24" s="17" t="e">
        <f t="shared" si="1"/>
        <v>#REF!</v>
      </c>
      <c r="G24" s="17" t="e">
        <f t="shared" si="2"/>
        <v>#REF!</v>
      </c>
      <c r="H24" s="14"/>
    </row>
    <row r="25" spans="2:8">
      <c r="B25" s="14"/>
      <c r="C25" s="15" t="s">
        <v>16</v>
      </c>
      <c r="D25" s="14"/>
      <c r="E25" s="30">
        <v>0.3</v>
      </c>
      <c r="F25" s="17" t="e">
        <f t="shared" si="1"/>
        <v>#REF!</v>
      </c>
      <c r="G25" s="17" t="e">
        <f t="shared" si="2"/>
        <v>#REF!</v>
      </c>
      <c r="H25" s="14"/>
    </row>
    <row r="26" spans="2:8" s="2" customFormat="1">
      <c r="B26" s="8" t="s">
        <v>3</v>
      </c>
      <c r="C26" s="11" t="s">
        <v>23</v>
      </c>
      <c r="D26" s="8"/>
      <c r="E26" s="8"/>
      <c r="F26" s="8"/>
      <c r="G26" s="8"/>
      <c r="H26" s="8"/>
    </row>
    <row r="27" spans="2:8">
      <c r="B27" s="20"/>
      <c r="C27" s="25" t="s">
        <v>24</v>
      </c>
      <c r="D27" s="26">
        <v>7.0000000000000007E-2</v>
      </c>
      <c r="E27" s="20" t="s">
        <v>25</v>
      </c>
      <c r="F27" s="20" t="s">
        <v>27</v>
      </c>
      <c r="G27" s="20"/>
      <c r="H27" s="20"/>
    </row>
    <row r="28" spans="2:8">
      <c r="B28" s="14"/>
      <c r="C28" s="15" t="s">
        <v>26</v>
      </c>
      <c r="D28" s="16">
        <v>0.04</v>
      </c>
      <c r="E28" s="14"/>
      <c r="F28" s="14"/>
      <c r="G28" s="14"/>
      <c r="H28" s="14"/>
    </row>
    <row r="29" spans="2:8">
      <c r="B29" s="19"/>
      <c r="C29" s="27" t="s">
        <v>29</v>
      </c>
      <c r="D29" s="19"/>
      <c r="E29" s="19"/>
      <c r="F29" s="19"/>
      <c r="G29" s="19"/>
      <c r="H29" s="19"/>
    </row>
    <row r="31" spans="2:8" s="13" customFormat="1">
      <c r="B31" s="13" t="s">
        <v>32</v>
      </c>
      <c r="C31" s="13" t="s">
        <v>33</v>
      </c>
    </row>
  </sheetData>
  <mergeCells count="1">
    <mergeCell ref="C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43</vt:i4>
      </vt:variant>
    </vt:vector>
  </HeadingPairs>
  <TitlesOfParts>
    <vt:vector size="92" baseType="lpstr">
      <vt:lpstr>BC Tuần 1</vt:lpstr>
      <vt:lpstr>BC Tuần 2</vt:lpstr>
      <vt:lpstr>BC Tuần 4</vt:lpstr>
      <vt:lpstr>Báo cáo tháng 01</vt:lpstr>
      <vt:lpstr>T1-2-2025</vt:lpstr>
      <vt:lpstr>T3-2-2025</vt:lpstr>
      <vt:lpstr>T4-2-2025</vt:lpstr>
      <vt:lpstr>Báo cáo tháng 02</vt:lpstr>
      <vt:lpstr>T1-3-2025</vt:lpstr>
      <vt:lpstr>T2-3-2025</vt:lpstr>
      <vt:lpstr>T3-3-2025</vt:lpstr>
      <vt:lpstr>T4-3-2025</vt:lpstr>
      <vt:lpstr>Báo cáo tháng 03</vt:lpstr>
      <vt:lpstr>T1-4-2025</vt:lpstr>
      <vt:lpstr>T2-4-2025</vt:lpstr>
      <vt:lpstr>T4-4-2025</vt:lpstr>
      <vt:lpstr>Báo cáo tháng 04</vt:lpstr>
      <vt:lpstr>T1-5-2025</vt:lpstr>
      <vt:lpstr>T2-5-2025</vt:lpstr>
      <vt:lpstr>T4-5-2025</vt:lpstr>
      <vt:lpstr>Báo cáo tháng 05</vt:lpstr>
      <vt:lpstr>T1-6-2025</vt:lpstr>
      <vt:lpstr>T2-6-2025</vt:lpstr>
      <vt:lpstr>T3-6-2025</vt:lpstr>
      <vt:lpstr>T4-6-2025</vt:lpstr>
      <vt:lpstr>Báo cáo tháng 06</vt:lpstr>
      <vt:lpstr>T1-7-2025</vt:lpstr>
      <vt:lpstr>T3-7-2025</vt:lpstr>
      <vt:lpstr>T4-7-2025</vt:lpstr>
      <vt:lpstr>T5-7-2025</vt:lpstr>
      <vt:lpstr>T1-8-2025</vt:lpstr>
      <vt:lpstr>T2-8-2025</vt:lpstr>
      <vt:lpstr>T2-9-2025</vt:lpstr>
      <vt:lpstr>T3-9-2025</vt:lpstr>
      <vt:lpstr>T4-9-2025</vt:lpstr>
      <vt:lpstr>Báo cáo tháng 09</vt:lpstr>
      <vt:lpstr>T3-10-2025</vt:lpstr>
      <vt:lpstr>T3-11-2025</vt:lpstr>
      <vt:lpstr>T1-10-2025</vt:lpstr>
      <vt:lpstr>T4-11-2025</vt:lpstr>
      <vt:lpstr>Báo cáo tháng 11</vt:lpstr>
      <vt:lpstr>T1-12-2025</vt:lpstr>
      <vt:lpstr>T2-12-2025</vt:lpstr>
      <vt:lpstr>T4-12-2025</vt:lpstr>
      <vt:lpstr>Báo cáo tháng 12</vt:lpstr>
      <vt:lpstr>Sheet1</vt:lpstr>
      <vt:lpstr>Sheet2</vt:lpstr>
      <vt:lpstr>Phân bổ quỹ lương</vt:lpstr>
      <vt:lpstr>Cơ chế thu nhập nhân sự</vt:lpstr>
      <vt:lpstr>'Báo cáo tháng 03'!Print_Area</vt:lpstr>
      <vt:lpstr>'Báo cáo tháng 04'!Print_Area</vt:lpstr>
      <vt:lpstr>'Báo cáo tháng 05'!Print_Area</vt:lpstr>
      <vt:lpstr>'Báo cáo tháng 06'!Print_Area</vt:lpstr>
      <vt:lpstr>'Báo cáo tháng 09'!Print_Area</vt:lpstr>
      <vt:lpstr>'Báo cáo tháng 11'!Print_Area</vt:lpstr>
      <vt:lpstr>'Báo cáo tháng 12'!Print_Area</vt:lpstr>
      <vt:lpstr>'BC Tuần 1'!Print_Area</vt:lpstr>
      <vt:lpstr>'BC Tuần 2'!Print_Area</vt:lpstr>
      <vt:lpstr>'BC Tuần 4'!Print_Area</vt:lpstr>
      <vt:lpstr>'T1-10-2025'!Print_Area</vt:lpstr>
      <vt:lpstr>'T1-12-2025'!Print_Area</vt:lpstr>
      <vt:lpstr>'T1-2-2025'!Print_Area</vt:lpstr>
      <vt:lpstr>'T1-3-2025'!Print_Area</vt:lpstr>
      <vt:lpstr>'T1-4-2025'!Print_Area</vt:lpstr>
      <vt:lpstr>'T1-5-2025'!Print_Area</vt:lpstr>
      <vt:lpstr>'T1-6-2025'!Print_Area</vt:lpstr>
      <vt:lpstr>'T1-7-2025'!Print_Area</vt:lpstr>
      <vt:lpstr>'T1-8-2025'!Print_Area</vt:lpstr>
      <vt:lpstr>'T2-12-2025'!Print_Area</vt:lpstr>
      <vt:lpstr>'T2-3-2025'!Print_Area</vt:lpstr>
      <vt:lpstr>'T2-4-2025'!Print_Area</vt:lpstr>
      <vt:lpstr>'T2-5-2025'!Print_Area</vt:lpstr>
      <vt:lpstr>'T2-6-2025'!Print_Area</vt:lpstr>
      <vt:lpstr>'T2-8-2025'!Print_Area</vt:lpstr>
      <vt:lpstr>'T2-9-2025'!Print_Area</vt:lpstr>
      <vt:lpstr>'T3-10-2025'!Print_Area</vt:lpstr>
      <vt:lpstr>'T3-11-2025'!Print_Area</vt:lpstr>
      <vt:lpstr>'T3-2-2025'!Print_Area</vt:lpstr>
      <vt:lpstr>'T3-3-2025'!Print_Area</vt:lpstr>
      <vt:lpstr>'T3-6-2025'!Print_Area</vt:lpstr>
      <vt:lpstr>'T3-7-2025'!Print_Area</vt:lpstr>
      <vt:lpstr>'T3-9-2025'!Print_Area</vt:lpstr>
      <vt:lpstr>'T4-11-2025'!Print_Area</vt:lpstr>
      <vt:lpstr>'T4-12-2025'!Print_Area</vt:lpstr>
      <vt:lpstr>'T4-2-2025'!Print_Area</vt:lpstr>
      <vt:lpstr>'T4-3-2025'!Print_Area</vt:lpstr>
      <vt:lpstr>'T4-4-2025'!Print_Area</vt:lpstr>
      <vt:lpstr>'T4-5-2025'!Print_Area</vt:lpstr>
      <vt:lpstr>'T4-6-2025'!Print_Area</vt:lpstr>
      <vt:lpstr>'T4-7-2025'!Print_Area</vt:lpstr>
      <vt:lpstr>'T4-9-2025'!Print_Area</vt:lpstr>
      <vt:lpstr>'T5-7-2025'!Print_Area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DoanKetcs</cp:lastModifiedBy>
  <cp:lastPrinted>2025-12-27T09:44:53Z</cp:lastPrinted>
  <dcterms:created xsi:type="dcterms:W3CDTF">2023-08-01T07:06:29Z</dcterms:created>
  <dcterms:modified xsi:type="dcterms:W3CDTF">2025-12-27T09:59:37Z</dcterms:modified>
</cp:coreProperties>
</file>